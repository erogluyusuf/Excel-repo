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yusuf\OneDrive\Belgeler\akay nalbur\"/>
    </mc:Choice>
  </mc:AlternateContent>
  <xr:revisionPtr revIDLastSave="0" documentId="13_ncr:1_{7A900F82-8EC4-43BD-AA18-6CD7A51DDDB0}" xr6:coauthVersionLast="47" xr6:coauthVersionMax="47" xr10:uidLastSave="{00000000-0000-0000-0000-000000000000}"/>
  <bookViews>
    <workbookView xWindow="11424" yWindow="360" windowWidth="11712" windowHeight="12696" activeTab="1" xr2:uid="{E3E40719-1482-4068-812E-83BED6E03DD0}"/>
  </bookViews>
  <sheets>
    <sheet name="ANASAYFA" sheetId="6" r:id="rId1"/>
    <sheet name="ÜRÜNLER" sheetId="1" r:id="rId2"/>
    <sheet name="MÜŞTERİLER" sheetId="2" r:id="rId3"/>
    <sheet name="ÇEK-SENET" sheetId="4" r:id="rId4"/>
    <sheet name="SATIŞLAR" sheetId="7" r:id="rId5"/>
  </sheets>
  <definedNames>
    <definedName name="Ad_Soyad">MÜŞTERİLER!$A:$A</definedName>
    <definedName name="ürün_listesi">ÜRÜNLER!$C:$C</definedName>
    <definedName name="_xlnm.Print_Area" localSheetId="0">ANASAYFA!$A$1:$G$39</definedName>
    <definedName name="_xlnm.Print_Area" localSheetId="1">ÜRÜNLER!$A$1:$I$14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" l="1"/>
  <c r="K8" i="1"/>
  <c r="C17" i="6"/>
  <c r="H14" i="1"/>
  <c r="H13" i="1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16" i="6"/>
  <c r="F16" i="6"/>
  <c r="G16" i="6" s="1"/>
  <c r="F17" i="6"/>
  <c r="G17" i="6" s="1"/>
  <c r="F18" i="6"/>
  <c r="G18" i="6" s="1"/>
  <c r="F19" i="6"/>
  <c r="G19" i="6" s="1"/>
  <c r="F20" i="6"/>
  <c r="G20" i="6" s="1"/>
  <c r="F21" i="6"/>
  <c r="G21" i="6" s="1"/>
  <c r="F22" i="6"/>
  <c r="G22" i="6" s="1"/>
  <c r="B9" i="6"/>
  <c r="F23" i="6"/>
  <c r="G23" i="6" s="1"/>
  <c r="F24" i="6"/>
  <c r="G24" i="6" s="1"/>
  <c r="F25" i="6"/>
  <c r="G25" i="6" s="1"/>
  <c r="F26" i="6"/>
  <c r="G26" i="6" s="1"/>
  <c r="F27" i="6"/>
  <c r="G27" i="6" s="1"/>
  <c r="F28" i="6"/>
  <c r="G28" i="6" s="1"/>
  <c r="F29" i="6"/>
  <c r="G29" i="6" s="1"/>
  <c r="F30" i="6"/>
  <c r="G30" i="6" s="1"/>
  <c r="F31" i="6"/>
  <c r="G31" i="6" s="1"/>
  <c r="B12" i="6"/>
  <c r="G8" i="6"/>
  <c r="G32" i="6" l="1"/>
  <c r="H2" i="1"/>
  <c r="H3" i="1"/>
  <c r="H4" i="1"/>
  <c r="H5" i="1"/>
  <c r="H6" i="1"/>
  <c r="H7" i="1"/>
  <c r="H8" i="1"/>
  <c r="H9" i="1"/>
  <c r="H10" i="1"/>
  <c r="H11" i="1"/>
  <c r="H12" i="1"/>
  <c r="G34" i="6" l="1"/>
  <c r="G35" i="6" s="1"/>
  <c r="G36" i="6" s="1"/>
</calcChain>
</file>

<file path=xl/sharedStrings.xml><?xml version="1.0" encoding="utf-8"?>
<sst xmlns="http://schemas.openxmlformats.org/spreadsheetml/2006/main" count="247" uniqueCount="138">
  <si>
    <t>Ad Soyad</t>
  </si>
  <si>
    <t>Telefon</t>
  </si>
  <si>
    <t>Adres</t>
  </si>
  <si>
    <t>Kayıt Tarihi</t>
  </si>
  <si>
    <t>Tutar (TL)</t>
  </si>
  <si>
    <t>Vade Tarihi</t>
  </si>
  <si>
    <t>Durum</t>
  </si>
  <si>
    <t>Müşteri Adı</t>
  </si>
  <si>
    <t>Geçerli</t>
  </si>
  <si>
    <t>Ürün Kodu</t>
  </si>
  <si>
    <t>Ürün Adı</t>
  </si>
  <si>
    <t>Kategori</t>
  </si>
  <si>
    <t>Marka</t>
  </si>
  <si>
    <t>Barkod</t>
  </si>
  <si>
    <t>Açıklama</t>
  </si>
  <si>
    <t>ID</t>
  </si>
  <si>
    <t>Miktar</t>
  </si>
  <si>
    <t>Fiyat</t>
  </si>
  <si>
    <t>İspir / Erzurum / Türkiye</t>
  </si>
  <si>
    <t xml:space="preserve">Aşağı Özbağ Mah. Aşağı Özbağ Merkez Cad. </t>
  </si>
  <si>
    <t>Opet Cafe Apt. No:1</t>
  </si>
  <si>
    <t>TOPLAM</t>
  </si>
  <si>
    <t>Firmamıza gösterdiğiniz güven için teşekkür ederiz. Sizlere hizmet vermekten mutluluk duyduk.</t>
  </si>
  <si>
    <t>#</t>
  </si>
  <si>
    <t>KALAN BAKİYE</t>
  </si>
  <si>
    <t>İNDİRİM</t>
  </si>
  <si>
    <t>İNDİRİM YÜZDESİ</t>
  </si>
  <si>
    <t>TOPLAM TUTAR</t>
  </si>
  <si>
    <t>ÜRÜN BİLGİSİ</t>
  </si>
  <si>
    <t>BARCODE</t>
  </si>
  <si>
    <t>MİKTAR</t>
  </si>
  <si>
    <t>FİYAT</t>
  </si>
  <si>
    <t>MÜŞTERİ BİLGİSİ</t>
  </si>
  <si>
    <t>FATURA ID</t>
  </si>
  <si>
    <t>TARİH</t>
  </si>
  <si>
    <t xml:space="preserve">Ak - Ay Yapı Market İnşaat Malzemeleri İnşaat Taahhüt Enerji Üretim Nakliye Sanayi ve Ticaret Limited Şirketi
</t>
  </si>
  <si>
    <t>Bu fatura hakkında herhangi bir sorunuz olması durumunda lütfen bizimle iletişime geçiniz.</t>
  </si>
  <si>
    <t xml:space="preserve">MÜŞTERİ ADI </t>
  </si>
  <si>
    <t>ÜRÜNLER</t>
  </si>
  <si>
    <t>ADEDİ</t>
  </si>
  <si>
    <t>Ayşe Yılmaz</t>
  </si>
  <si>
    <t>0505 123 4567</t>
  </si>
  <si>
    <t>İstanbul, Kadıköy</t>
  </si>
  <si>
    <t>13.06.2025</t>
  </si>
  <si>
    <t>Mehmet Kaya</t>
  </si>
  <si>
    <t>0532 765 4321</t>
  </si>
  <si>
    <t>Ankara, Çankaya</t>
  </si>
  <si>
    <t>10.06.2025</t>
  </si>
  <si>
    <t>Elif Demir</t>
  </si>
  <si>
    <t>0541 987 6543</t>
  </si>
  <si>
    <t>İzmir, Konak</t>
  </si>
  <si>
    <t>01.06.2025</t>
  </si>
  <si>
    <t>Ahmet Çelik</t>
  </si>
  <si>
    <t>0506 111 2233</t>
  </si>
  <si>
    <t>Bursa, Nilüfer</t>
  </si>
  <si>
    <t>29.05.2025</t>
  </si>
  <si>
    <t>Zeynep Arslan</t>
  </si>
  <si>
    <t>0530 222 3344</t>
  </si>
  <si>
    <t>Antalya, Muratpaşa</t>
  </si>
  <si>
    <t>05.06.2025</t>
  </si>
  <si>
    <t>Mert Özkan</t>
  </si>
  <si>
    <t>0544 333 4455</t>
  </si>
  <si>
    <t>Eskişehir, Odunpazarı</t>
  </si>
  <si>
    <t>11.06.2025</t>
  </si>
  <si>
    <t>Nazlı Koç</t>
  </si>
  <si>
    <t>0555 444 5566</t>
  </si>
  <si>
    <t>Trabzon, Ortahisar</t>
  </si>
  <si>
    <t>12.06.2025</t>
  </si>
  <si>
    <t>Emre Güneş</t>
  </si>
  <si>
    <t>0531 666 7788</t>
  </si>
  <si>
    <t>Gaziantep, Şehitkamil</t>
  </si>
  <si>
    <t>03.06.2025</t>
  </si>
  <si>
    <t>Burcu Aksoy</t>
  </si>
  <si>
    <t>0507 777 8899</t>
  </si>
  <si>
    <t>Adana, Seyhan</t>
  </si>
  <si>
    <t>07.06.2025</t>
  </si>
  <si>
    <t>Caner Aydın</t>
  </si>
  <si>
    <t>0543 888 9900</t>
  </si>
  <si>
    <t>Konya, Selçuklu</t>
  </si>
  <si>
    <t>02.06.2025</t>
  </si>
  <si>
    <t>651.651,00</t>
  </si>
  <si>
    <t>12.02.2025</t>
  </si>
  <si>
    <t>1.252,00</t>
  </si>
  <si>
    <t>08.07.2025</t>
  </si>
  <si>
    <t>12.500,00</t>
  </si>
  <si>
    <t>10.06.2020</t>
  </si>
  <si>
    <t>1,00</t>
  </si>
  <si>
    <t>15.08.2025</t>
  </si>
  <si>
    <t>3.200,00</t>
  </si>
  <si>
    <t>25.09.2025</t>
  </si>
  <si>
    <t>540,00</t>
  </si>
  <si>
    <t>01.03.2024</t>
  </si>
  <si>
    <t>7.890,00</t>
  </si>
  <si>
    <t>18.06.2025</t>
  </si>
  <si>
    <t>15.000,00</t>
  </si>
  <si>
    <t>02.01.2025</t>
  </si>
  <si>
    <t>10.300,00</t>
  </si>
  <si>
    <t>30.10.2023</t>
  </si>
  <si>
    <t>99.999,00</t>
  </si>
  <si>
    <t>09.09.2025</t>
  </si>
  <si>
    <t>Çivi</t>
  </si>
  <si>
    <t>Hırdavat</t>
  </si>
  <si>
    <t>Bosch</t>
  </si>
  <si>
    <t>₺5.416,00</t>
  </si>
  <si>
    <t>Matkap</t>
  </si>
  <si>
    <t>Elektrikli El Aletleri</t>
  </si>
  <si>
    <t>Dewalt</t>
  </si>
  <si>
    <t>₺2.340,00</t>
  </si>
  <si>
    <t>Leğen</t>
  </si>
  <si>
    <t>Ev &amp; Mutfak</t>
  </si>
  <si>
    <t>Arçelik</t>
  </si>
  <si>
    <t>₺234,234,00</t>
  </si>
  <si>
    <t>Deneme</t>
  </si>
  <si>
    <t>Test Ürünü</t>
  </si>
  <si>
    <t>Örnek Marka</t>
  </si>
  <si>
    <t>₺3,00</t>
  </si>
  <si>
    <t>Kurbağacık</t>
  </si>
  <si>
    <t>El Aletleri</t>
  </si>
  <si>
    <t>Stanley</t>
  </si>
  <si>
    <t>₺254,00</t>
  </si>
  <si>
    <t>Tornavida</t>
  </si>
  <si>
    <t>₺54,00</t>
  </si>
  <si>
    <t>Masa Lambası</t>
  </si>
  <si>
    <t>Aydınlatma</t>
  </si>
  <si>
    <t>Philips</t>
  </si>
  <si>
    <t>₺345,00</t>
  </si>
  <si>
    <t>Çekiç</t>
  </si>
  <si>
    <t>Makita</t>
  </si>
  <si>
    <t>₺123,00</t>
  </si>
  <si>
    <t>Priz</t>
  </si>
  <si>
    <t>Elektrik Malz.</t>
  </si>
  <si>
    <t>Viko</t>
  </si>
  <si>
    <t>₺89,00</t>
  </si>
  <si>
    <t>Su Isıtıcı</t>
  </si>
  <si>
    <t>Ev Aletleri</t>
  </si>
  <si>
    <t>Arzum</t>
  </si>
  <si>
    <t>₺879,00</t>
  </si>
  <si>
    <t>Yusuf Eroğlu ile +90 (537) 625 81 96 numaralı telefondan veya help@akayinsaat.com adresinden iletişime geçin.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</si>
</sst>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[&lt;=9999999]###\-####;\(###\)\ ###\-####"/>
    <numFmt numFmtId="165" formatCode="_-[$₺-41F]* #,##0.00_-;\-[$₺-41F]* #,##0.00_-;_-[$₺-41F]* &quot;-&quot;??_-;_-@_-"/>
    <numFmt numFmtId="166" formatCode="m/d/yyyy;@"/>
    <numFmt numFmtId="167" formatCode="0.000%"/>
  </numFmts>
  <fonts count="32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  <charset val="16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  <charset val="162"/>
    </font>
    <font>
      <sz val="11"/>
      <color theme="1"/>
      <name val="Times New Roman"/>
      <family val="1"/>
      <charset val="162"/>
    </font>
    <font>
      <sz val="12"/>
      <color theme="1"/>
      <name val="Times New Roman"/>
      <family val="1"/>
      <charset val="162"/>
    </font>
    <font>
      <sz val="36"/>
      <name val="Code 3 de 9"/>
      <charset val="2"/>
    </font>
    <font>
      <sz val="11"/>
      <name val="Times New Roman"/>
      <family val="1"/>
      <charset val="16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theme="4" tint="-0.249977111117893"/>
      <name val="Times New Roman"/>
      <family val="1"/>
      <charset val="162"/>
    </font>
    <font>
      <b/>
      <sz val="10"/>
      <name val="Times New Roman"/>
      <family val="1"/>
      <charset val="162"/>
    </font>
    <font>
      <sz val="10"/>
      <name val="Times New Roman"/>
      <family val="1"/>
      <charset val="162"/>
    </font>
    <font>
      <b/>
      <sz val="10"/>
      <color theme="0"/>
      <name val="Times New Roman"/>
      <family val="1"/>
      <charset val="162"/>
    </font>
    <font>
      <sz val="10"/>
      <color rgb="FF000000"/>
      <name val="Times New Roman"/>
      <family val="1"/>
      <charset val="162"/>
    </font>
    <font>
      <b/>
      <i/>
      <sz val="10"/>
      <color theme="4" tint="-0.249977111117893"/>
      <name val="Times New Roman"/>
      <family val="1"/>
      <charset val="162"/>
    </font>
    <font>
      <sz val="12"/>
      <name val="Times New Roman"/>
      <family val="1"/>
      <charset val="162"/>
    </font>
    <font>
      <b/>
      <sz val="18"/>
      <color theme="0"/>
      <name val="Times New Roman"/>
      <family val="1"/>
      <charset val="162"/>
    </font>
    <font>
      <b/>
      <sz val="10"/>
      <color theme="1"/>
      <name val="Times New Roman"/>
      <family val="1"/>
      <charset val="162"/>
    </font>
    <font>
      <b/>
      <sz val="12"/>
      <color theme="4" tint="-0.499984740745262"/>
      <name val="Times New Roman"/>
      <family val="1"/>
      <charset val="162"/>
    </font>
    <font>
      <sz val="22"/>
      <name val="Code 3 de 9"/>
      <charset val="2"/>
    </font>
    <font>
      <sz val="26"/>
      <name val="Code 3 de 9"/>
      <charset val="2"/>
    </font>
    <font>
      <b/>
      <sz val="11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72"/>
      <color theme="1"/>
      <name val="Code 3 de 9"/>
      <charset val="2"/>
    </font>
    <font>
      <sz val="20"/>
      <color theme="1"/>
      <name val="Times New Roman"/>
      <family val="1"/>
      <charset val="162"/>
    </font>
    <font>
      <sz val="24"/>
      <color theme="1"/>
      <name val="Times New Roman"/>
      <family val="1"/>
      <charset val="162"/>
    </font>
    <font>
      <sz val="28"/>
      <color theme="1"/>
      <name val="Times New Roman"/>
      <family val="1"/>
      <charset val="162"/>
    </font>
    <font>
      <sz val="18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465926084170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2" fillId="2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80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6" fillId="2" borderId="0" xfId="2" applyFont="1" applyBorder="1" applyAlignment="1">
      <alignment horizontal="center" vertical="center" wrapText="1"/>
    </xf>
    <xf numFmtId="165" fontId="6" fillId="2" borderId="0" xfId="2" applyNumberFormat="1" applyFont="1" applyBorder="1" applyAlignment="1">
      <alignment horizontal="center" vertical="center" wrapText="1"/>
    </xf>
    <xf numFmtId="166" fontId="6" fillId="2" borderId="0" xfId="2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66" fontId="5" fillId="0" borderId="0" xfId="0" applyNumberFormat="1" applyFont="1" applyAlignment="1">
      <alignment horizontal="center" vertical="center"/>
    </xf>
    <xf numFmtId="165" fontId="5" fillId="0" borderId="0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65" fontId="5" fillId="0" borderId="0" xfId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/>
    <xf numFmtId="0" fontId="8" fillId="0" borderId="0" xfId="0" applyFont="1"/>
    <xf numFmtId="0" fontId="12" fillId="0" borderId="0" xfId="0" applyFont="1" applyAlignment="1" applyProtection="1">
      <alignment horizontal="left" vertical="center" indent="1"/>
      <protection locked="0"/>
    </xf>
    <xf numFmtId="0" fontId="13" fillId="0" borderId="0" xfId="0" applyFont="1" applyAlignment="1" applyProtection="1">
      <alignment vertical="top"/>
      <protection locked="0"/>
    </xf>
    <xf numFmtId="0" fontId="13" fillId="0" borderId="0" xfId="0" applyFont="1"/>
    <xf numFmtId="0" fontId="13" fillId="0" borderId="0" xfId="0" applyFont="1" applyAlignment="1">
      <alignment vertical="center"/>
    </xf>
    <xf numFmtId="0" fontId="13" fillId="0" borderId="0" xfId="0" applyFont="1" applyAlignment="1" applyProtection="1">
      <alignment vertical="center"/>
      <protection locked="0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0" borderId="0" xfId="0" applyFont="1" applyAlignment="1" applyProtection="1">
      <alignment horizontal="center" vertical="center"/>
      <protection locked="0"/>
    </xf>
    <xf numFmtId="0" fontId="14" fillId="4" borderId="0" xfId="0" applyFont="1" applyFill="1" applyAlignment="1">
      <alignment horizontal="left" vertical="center" indent="1"/>
    </xf>
    <xf numFmtId="0" fontId="13" fillId="0" borderId="0" xfId="0" applyFont="1" applyAlignment="1" applyProtection="1">
      <alignment horizontal="left" vertical="center" indent="1"/>
      <protection locked="0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left" vertical="center" indent="1"/>
    </xf>
    <xf numFmtId="0" fontId="15" fillId="0" borderId="0" xfId="3" applyFont="1" applyAlignment="1" applyProtection="1">
      <alignment horizontal="left" vertical="center" indent="1"/>
    </xf>
    <xf numFmtId="0" fontId="14" fillId="4" borderId="0" xfId="0" applyFont="1" applyFill="1" applyAlignment="1">
      <alignment horizontal="center" vertical="center"/>
    </xf>
    <xf numFmtId="0" fontId="8" fillId="0" borderId="0" xfId="0" applyFont="1" applyAlignment="1">
      <alignment vertical="center"/>
    </xf>
    <xf numFmtId="0" fontId="17" fillId="0" borderId="0" xfId="0" applyFont="1" applyAlignment="1">
      <alignment horizontal="left" vertical="center" indent="1"/>
    </xf>
    <xf numFmtId="0" fontId="17" fillId="0" borderId="0" xfId="0" applyFont="1"/>
    <xf numFmtId="0" fontId="12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>
      <alignment horizontal="left" vertical="center"/>
    </xf>
    <xf numFmtId="0" fontId="20" fillId="0" borderId="0" xfId="0" applyFont="1" applyAlignment="1" applyProtection="1">
      <alignment horizontal="left" vertical="center" wrapText="1"/>
      <protection locked="0"/>
    </xf>
    <xf numFmtId="0" fontId="13" fillId="0" borderId="0" xfId="0" applyFont="1" applyAlignment="1" applyProtection="1">
      <alignment horizontal="left" vertical="top" wrapText="1"/>
      <protection locked="0"/>
    </xf>
    <xf numFmtId="164" fontId="13" fillId="0" borderId="0" xfId="0" applyNumberFormat="1" applyFont="1" applyAlignment="1" applyProtection="1">
      <alignment horizontal="left" vertical="center" indent="1"/>
      <protection locked="0"/>
    </xf>
    <xf numFmtId="0" fontId="21" fillId="0" borderId="0" xfId="0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8" fillId="0" borderId="1" xfId="0" applyFont="1" applyBorder="1"/>
    <xf numFmtId="0" fontId="13" fillId="3" borderId="1" xfId="0" applyFont="1" applyFill="1" applyBorder="1" applyAlignment="1" applyProtection="1">
      <alignment horizontal="center" vertical="center"/>
      <protection locked="0"/>
    </xf>
    <xf numFmtId="43" fontId="13" fillId="3" borderId="1" xfId="0" applyNumberFormat="1" applyFont="1" applyFill="1" applyBorder="1" applyAlignment="1" applyProtection="1">
      <alignment vertical="center"/>
      <protection locked="0"/>
    </xf>
    <xf numFmtId="43" fontId="13" fillId="3" borderId="1" xfId="0" applyNumberFormat="1" applyFont="1" applyFill="1" applyBorder="1" applyAlignment="1">
      <alignment vertical="center"/>
    </xf>
    <xf numFmtId="0" fontId="13" fillId="0" borderId="2" xfId="0" applyFont="1" applyBorder="1" applyAlignment="1" applyProtection="1">
      <alignment horizontal="left" vertical="center" indent="1"/>
      <protection locked="0"/>
    </xf>
    <xf numFmtId="0" fontId="13" fillId="0" borderId="1" xfId="0" applyFont="1" applyBorder="1" applyAlignment="1">
      <alignment horizontal="left" vertical="center" indent="1"/>
    </xf>
    <xf numFmtId="43" fontId="13" fillId="0" borderId="1" xfId="0" applyNumberFormat="1" applyFont="1" applyBorder="1" applyAlignment="1">
      <alignment vertical="center"/>
    </xf>
    <xf numFmtId="167" fontId="13" fillId="0" borderId="1" xfId="0" applyNumberFormat="1" applyFont="1" applyBorder="1" applyAlignment="1">
      <alignment vertical="center"/>
    </xf>
    <xf numFmtId="165" fontId="18" fillId="6" borderId="1" xfId="0" applyNumberFormat="1" applyFont="1" applyFill="1" applyBorder="1" applyAlignment="1">
      <alignment vertical="center"/>
    </xf>
    <xf numFmtId="0" fontId="13" fillId="0" borderId="0" xfId="0" applyFont="1" applyAlignment="1" applyProtection="1">
      <alignment horizontal="left" vertical="top" indent="1"/>
      <protection locked="0"/>
    </xf>
    <xf numFmtId="0" fontId="0" fillId="0" borderId="0" xfId="0" applyAlignment="1">
      <alignment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6" fillId="0" borderId="0" xfId="0" applyFont="1" applyAlignment="1">
      <alignment vertical="center" wrapText="1"/>
    </xf>
    <xf numFmtId="0" fontId="12" fillId="0" borderId="0" xfId="0" applyFont="1" applyAlignment="1">
      <alignment horizontal="center"/>
    </xf>
    <xf numFmtId="0" fontId="13" fillId="0" borderId="0" xfId="0" applyFont="1" applyAlignment="1" applyProtection="1">
      <alignment horizontal="left" vertical="top" wrapText="1"/>
      <protection locked="0"/>
    </xf>
    <xf numFmtId="0" fontId="18" fillId="6" borderId="1" xfId="0" applyFont="1" applyFill="1" applyBorder="1" applyAlignment="1">
      <alignment horizontal="left" vertical="center"/>
    </xf>
    <xf numFmtId="0" fontId="11" fillId="0" borderId="0" xfId="0" applyFont="1" applyAlignment="1">
      <alignment horizontal="right"/>
    </xf>
    <xf numFmtId="0" fontId="14" fillId="4" borderId="0" xfId="0" applyFont="1" applyFill="1" applyAlignment="1">
      <alignment horizontal="left" vertical="center" indent="1"/>
    </xf>
    <xf numFmtId="0" fontId="16" fillId="5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left" vertical="center" indent="1"/>
    </xf>
    <xf numFmtId="0" fontId="13" fillId="0" borderId="0" xfId="0" applyFont="1" applyAlignment="1">
      <alignment horizontal="center"/>
    </xf>
    <xf numFmtId="0" fontId="27" fillId="0" borderId="6" xfId="0" applyFont="1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</cellXfs>
  <cellStyles count="4">
    <cellStyle name="%60 - Vurgu1" xfId="2" builtinId="32"/>
    <cellStyle name="Köprü" xfId="3" builtinId="8"/>
    <cellStyle name="Normal" xfId="0" builtinId="0"/>
    <cellStyle name="Virgül" xfId="1" builtinId="3"/>
  </cellStyles>
  <dxfs count="36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numFmt numFmtId="166" formatCode="m/d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numFmt numFmtId="165" formatCode="_-[$₺-41F]* #,##0.00_-;\-[$₺-41F]* #,##0.00_-;_-[$₺-41F]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indent="0" justifyLastLine="0" shrinkToFit="0" readingOrder="0"/>
    </dxf>
    <dxf>
      <fill>
        <patternFill>
          <bgColor rgb="FFEE00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EE0000"/>
        </patternFill>
      </fill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numFmt numFmtId="164" formatCode="[&lt;=9999999]###\-####;\(###\)\ ###\-####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auto="1"/>
        <name val="Code 3 de 9"/>
        <charset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numFmt numFmtId="165" formatCode="_-[$₺-41F]* #,##0.00_-;\-[$₺-41F]* #,##0.00_-;_-[$₺-41F]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charset val="16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792094</xdr:colOff>
      <xdr:row>1</xdr:row>
      <xdr:rowOff>6404</xdr:rowOff>
    </xdr:from>
    <xdr:to>
      <xdr:col>3</xdr:col>
      <xdr:colOff>263817</xdr:colOff>
      <xdr:row>4</xdr:row>
      <xdr:rowOff>28821</xdr:rowOff>
    </xdr:to>
    <xdr:pic>
      <xdr:nvPicPr>
        <xdr:cNvPr id="3" name="Resim 2" descr="gib logo değişikliği, Gelirler İdaresi Başkanlığı Logo Değiştirme">
          <a:extLst>
            <a:ext uri="{FF2B5EF4-FFF2-40B4-BE49-F238E27FC236}">
              <a16:creationId xmlns:a16="http://schemas.microsoft.com/office/drawing/2014/main" id="{2A356222-7EBF-3308-7C46-3284EF6B1B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9323" y="387404"/>
          <a:ext cx="1300523" cy="1296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455243</xdr:colOff>
      <xdr:row>1</xdr:row>
      <xdr:rowOff>17928</xdr:rowOff>
    </xdr:from>
    <xdr:to>
      <xdr:col>6</xdr:col>
      <xdr:colOff>1434354</xdr:colOff>
      <xdr:row>2</xdr:row>
      <xdr:rowOff>17928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A9C77ECF-B70F-CCB9-9489-B01564B57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6890" y="403410"/>
          <a:ext cx="2413464" cy="8785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34</xdr:row>
          <xdr:rowOff>15240</xdr:rowOff>
        </xdr:from>
        <xdr:to>
          <xdr:col>1</xdr:col>
          <xdr:colOff>1630680</xdr:colOff>
          <xdr:row>34</xdr:row>
          <xdr:rowOff>358140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1767840</xdr:colOff>
          <xdr:row>33</xdr:row>
          <xdr:rowOff>236220</xdr:rowOff>
        </xdr:from>
        <xdr:to>
          <xdr:col>2</xdr:col>
          <xdr:colOff>182880</xdr:colOff>
          <xdr:row>34</xdr:row>
          <xdr:rowOff>373380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TEMİZLE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167640</xdr:colOff>
          <xdr:row>10</xdr:row>
          <xdr:rowOff>266700</xdr:rowOff>
        </xdr:from>
        <xdr:to>
          <xdr:col>11</xdr:col>
          <xdr:colOff>1158240</xdr:colOff>
          <xdr:row>11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YAZDIR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F77921-FC4C-4681-9435-6C7087925710}" name="Ürün_Adı" displayName="Ürün_Adı" ref="B1:I30" totalsRowShown="0" headerRowDxfId="35" dataDxfId="34">
  <autoFilter ref="B1:I30" xr:uid="{54F77921-FC4C-4681-9435-6C7087925710}"/>
  <tableColumns count="8">
    <tableColumn id="1" xr3:uid="{36317AF8-BF3F-448C-9779-D3AD98119AD6}" name="Ürün Kodu" dataDxfId="33"/>
    <tableColumn id="2" xr3:uid="{C5DF5C33-0E4A-452C-93CD-CAC3F397BE68}" name="Ürün Adı" dataDxfId="32"/>
    <tableColumn id="3" xr3:uid="{1D6F0B22-8BCA-49FC-AAA8-10F187CD2086}" name="Kategori" dataDxfId="31"/>
    <tableColumn id="4" xr3:uid="{E36E24F4-BF04-49E9-92D4-3D07AD0EE72C}" name="Marka" dataDxfId="30"/>
    <tableColumn id="5" xr3:uid="{E1B4FE37-8746-42B1-9205-1839B36E7631}" name="Fiyat" dataDxfId="29"/>
    <tableColumn id="6" xr3:uid="{87B905C1-3263-4F7E-9824-52D9A74B1E23}" name="Miktar" dataDxfId="28"/>
    <tableColumn id="7" xr3:uid="{5E1E6E6E-B2A9-46A7-A559-9FE52A4BD57B}" name="Barkod" dataDxfId="27">
      <calculatedColumnFormula>"*" &amp; B2 &amp; "*"</calculatedColumnFormula>
    </tableColumn>
    <tableColumn id="8" xr3:uid="{9E06AC65-62BC-412F-9C1B-F10C7A86086D}" name="Açıklama" dataDxfId="2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4B0DE7-8FB3-4594-A1B2-87B7913813B7}" name="Tablo7" displayName="Tablo7" ref="A1:A25" totalsRowShown="0" headerRowDxfId="25" dataDxfId="24">
  <autoFilter ref="A1:A25" xr:uid="{E74B0DE7-8FB3-4594-A1B2-87B7913813B7}"/>
  <tableColumns count="1">
    <tableColumn id="1" xr3:uid="{BB3AA9DB-0A39-4B1E-9F07-DF5D1941D4BA}" name="ID" dataDxfId="2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4E0F45-9FD9-46E3-B89A-B4931A7F5985}" name="Tablo4" displayName="Tablo4" ref="A1:D21" totalsRowShown="0" headerRowDxfId="22" dataDxfId="21">
  <autoFilter ref="A1:D21" xr:uid="{F84E0F45-9FD9-46E3-B89A-B4931A7F5985}"/>
  <tableColumns count="4">
    <tableColumn id="1" xr3:uid="{22255409-E6A8-404C-AFA7-5E0B24552F5E}" name="Ad Soyad" dataDxfId="20"/>
    <tableColumn id="2" xr3:uid="{DEE36914-0AC5-4905-AA2B-04C7F32E7F28}" name="Telefon" dataDxfId="19"/>
    <tableColumn id="3" xr3:uid="{B08C17FC-F1E4-42A4-938B-1D22162F32D1}" name="Adres" dataDxfId="18"/>
    <tableColumn id="4" xr3:uid="{05F4C7C2-464E-4CBD-A1A3-93578D9D6441}" name="Kayıt Tarihi" dataDxfId="17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309E4A-74B3-45A6-9470-49BE2D2C34B8}" name="Tablo3" displayName="Tablo3" ref="A1:D23" totalsRowShown="0" headerRowDxfId="13" dataDxfId="12">
  <autoFilter ref="A1:D23" xr:uid="{6A309E4A-74B3-45A6-9470-49BE2D2C34B8}"/>
  <tableColumns count="4">
    <tableColumn id="1" xr3:uid="{BC4AE587-EF68-4E0B-896A-58DF3369609B}" name="Müşteri Adı" dataDxfId="11"/>
    <tableColumn id="2" xr3:uid="{97CFE225-243F-4230-ABC6-3F589CB33284}" name="Tutar (TL)" dataDxfId="10" dataCellStyle="Virgül"/>
    <tableColumn id="3" xr3:uid="{E86CA852-52D9-4290-AF96-3A59B83E87EC}" name="Vade Tarihi" dataDxfId="9"/>
    <tableColumn id="4" xr3:uid="{0F833592-EFEB-419D-A681-6F73ED13D86B}" name="Durum" dataDxfId="8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8CB978-F2E0-4FAE-8998-40477827CE69}" name="Tablo2" displayName="Tablo2" ref="A2:C42" headerRowCount="0" totalsRowShown="0" headerRowDxfId="7" dataDxfId="6">
  <tableColumns count="3">
    <tableColumn id="1" xr3:uid="{9988C2C4-9082-425B-A130-0EACF25CC7BC}" name="MÜŞTERİ ADI " headerRowDxfId="5" dataDxfId="4"/>
    <tableColumn id="2" xr3:uid="{AFAA7937-CB95-44B9-8C11-33DEBBCE103A}" name="ÜRÜNLER" headerRowDxfId="3" dataDxfId="2"/>
    <tableColumn id="3" xr3:uid="{788797B8-2587-483D-8A88-47F6505AC8E8}" name="ADEDİ" headerRowDxfId="1" data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6D255-515C-45C6-8216-0F9934CF1FC4}">
  <sheetPr codeName="Sayfa4">
    <pageSetUpPr fitToPage="1"/>
  </sheetPr>
  <dimension ref="B1:G45"/>
  <sheetViews>
    <sheetView view="pageBreakPreview" topLeftCell="A7" zoomScale="70" zoomScaleNormal="85" zoomScaleSheetLayoutView="70" workbookViewId="0">
      <selection activeCell="C19" sqref="C19"/>
    </sheetView>
  </sheetViews>
  <sheetFormatPr defaultColWidth="10" defaultRowHeight="13.8" x14ac:dyDescent="0.25"/>
  <cols>
    <col min="1" max="1" width="4.21875" style="16" customWidth="1"/>
    <col min="2" max="2" width="45.33203125" style="16" customWidth="1"/>
    <col min="3" max="3" width="26.6640625" style="16" bestFit="1" customWidth="1"/>
    <col min="4" max="4" width="12" style="16" customWidth="1"/>
    <col min="5" max="5" width="10.21875" style="16" bestFit="1" customWidth="1"/>
    <col min="6" max="6" width="20.88671875" style="16" customWidth="1"/>
    <col min="7" max="7" width="23.88671875" style="16" bestFit="1" customWidth="1"/>
    <col min="8" max="16384" width="10" style="16"/>
  </cols>
  <sheetData>
    <row r="1" spans="2:7" ht="30" customHeight="1" x14ac:dyDescent="0.25"/>
    <row r="2" spans="2:7" ht="69" customHeight="1" x14ac:dyDescent="0.8">
      <c r="B2" s="36" t="s">
        <v>35</v>
      </c>
      <c r="C2" s="36"/>
      <c r="D2"/>
      <c r="F2" s="62"/>
      <c r="G2" s="62"/>
    </row>
    <row r="3" spans="2:7" ht="15" customHeight="1" x14ac:dyDescent="0.25">
      <c r="B3" s="34" t="s">
        <v>19</v>
      </c>
      <c r="C3" s="34"/>
      <c r="D3" s="18"/>
      <c r="E3" s="19"/>
      <c r="F3" s="19"/>
      <c r="G3" s="19"/>
    </row>
    <row r="4" spans="2:7" ht="15" customHeight="1" x14ac:dyDescent="0.25">
      <c r="B4" s="35" t="s">
        <v>20</v>
      </c>
      <c r="C4" s="35"/>
      <c r="D4" s="20"/>
      <c r="E4" s="19"/>
      <c r="F4" s="19"/>
      <c r="G4" s="19"/>
    </row>
    <row r="5" spans="2:7" ht="15" customHeight="1" x14ac:dyDescent="0.25">
      <c r="B5" s="34" t="s">
        <v>18</v>
      </c>
      <c r="C5" s="34"/>
      <c r="D5" s="21"/>
      <c r="E5" s="22"/>
    </row>
    <row r="6" spans="2:7" ht="15" customHeight="1" x14ac:dyDescent="0.25">
      <c r="B6" s="23"/>
      <c r="C6" s="23"/>
      <c r="D6" s="20"/>
      <c r="E6" s="24"/>
    </row>
    <row r="7" spans="2:7" ht="15" customHeight="1" x14ac:dyDescent="0.25">
      <c r="B7" s="63" t="s">
        <v>32</v>
      </c>
      <c r="C7" s="63"/>
      <c r="D7" s="63"/>
      <c r="E7" s="22"/>
      <c r="F7" s="25" t="s">
        <v>33</v>
      </c>
      <c r="G7" s="25" t="s">
        <v>34</v>
      </c>
    </row>
    <row r="8" spans="2:7" ht="15" customHeight="1" x14ac:dyDescent="0.25">
      <c r="B8" s="52" t="s">
        <v>52</v>
      </c>
      <c r="C8" s="26"/>
      <c r="D8" s="21"/>
      <c r="E8" s="27"/>
      <c r="F8" s="17" t="s">
        <v>23</v>
      </c>
      <c r="G8" s="28">
        <f ca="1">TODAY()</f>
        <v>45821</v>
      </c>
    </row>
    <row r="9" spans="2:7" ht="15" customHeight="1" x14ac:dyDescent="0.25">
      <c r="B9" s="60" t="str">
        <f>IFERROR(VLOOKUP(B8,MÜŞTERİLER!A:C,3,FALSE),"")</f>
        <v>Bursa, Nilüfer</v>
      </c>
      <c r="C9" s="37"/>
      <c r="D9" s="21"/>
      <c r="E9" s="20"/>
    </row>
    <row r="10" spans="2:7" ht="15" customHeight="1" x14ac:dyDescent="0.25">
      <c r="B10" s="60"/>
      <c r="C10" s="37"/>
      <c r="D10" s="21"/>
      <c r="E10" s="20"/>
    </row>
    <row r="11" spans="2:7" ht="15" customHeight="1" x14ac:dyDescent="0.25">
      <c r="B11" s="60"/>
      <c r="C11" s="37"/>
      <c r="D11" s="21"/>
      <c r="E11" s="20"/>
    </row>
    <row r="12" spans="2:7" ht="15" customHeight="1" x14ac:dyDescent="0.25">
      <c r="B12" s="38" t="str">
        <f>IFERROR(VLOOKUP(B8,MÜŞTERİLER!A:B,2,FALSE),"")</f>
        <v>0506 111 2233</v>
      </c>
      <c r="C12" s="38"/>
      <c r="D12" s="21"/>
      <c r="E12" s="20"/>
    </row>
    <row r="13" spans="2:7" ht="15" customHeight="1" x14ac:dyDescent="0.25">
      <c r="B13" s="29"/>
      <c r="C13" s="29"/>
      <c r="D13" s="20"/>
      <c r="E13" s="20"/>
      <c r="F13" s="20"/>
      <c r="G13" s="20"/>
    </row>
    <row r="14" spans="2:7" ht="15" customHeight="1" x14ac:dyDescent="0.25">
      <c r="B14" s="26"/>
      <c r="C14" s="26"/>
      <c r="D14" s="21"/>
      <c r="E14" s="20"/>
      <c r="F14" s="20"/>
      <c r="G14" s="20"/>
    </row>
    <row r="15" spans="2:7" ht="19.95" customHeight="1" x14ac:dyDescent="0.25">
      <c r="B15" s="25" t="s">
        <v>28</v>
      </c>
      <c r="C15" s="25" t="s">
        <v>29</v>
      </c>
      <c r="D15" s="25"/>
      <c r="E15" s="30" t="s">
        <v>30</v>
      </c>
      <c r="F15" s="30" t="s">
        <v>31</v>
      </c>
      <c r="G15" s="30" t="s">
        <v>21</v>
      </c>
    </row>
    <row r="16" spans="2:7" ht="19.95" customHeight="1" x14ac:dyDescent="0.25">
      <c r="B16" s="47" t="s">
        <v>108</v>
      </c>
      <c r="C16" s="42" t="str">
        <f>IFERROR(VLOOKUP(B16,ÜRÜNLER!C:H,6,FALSE),"")</f>
        <v>*65165165156*</v>
      </c>
      <c r="D16" s="43"/>
      <c r="E16" s="44">
        <v>11</v>
      </c>
      <c r="F16" s="45" t="str">
        <f>IFERROR(VLOOKUP(B16,ÜRÜNLER!C:G,4,FALSE),"")</f>
        <v>₺234,234,00</v>
      </c>
      <c r="G16" s="46" t="str">
        <f t="shared" ref="G16:G31" si="0">IFERROR(IF(E16="",ROUND(1*F16,2),ROUND(E16*F16,2)), "")</f>
        <v/>
      </c>
    </row>
    <row r="17" spans="2:7" ht="19.95" customHeight="1" x14ac:dyDescent="0.25">
      <c r="B17" s="47" t="s">
        <v>120</v>
      </c>
      <c r="C17" s="42" t="str">
        <f>IFERROR(VLOOKUP(B17,ÜRÜNLER!C:H,6,FALSE),"")</f>
        <v>*99887766554*</v>
      </c>
      <c r="D17" s="43"/>
      <c r="E17" s="44">
        <v>14</v>
      </c>
      <c r="F17" s="45" t="str">
        <f>IFERROR(VLOOKUP(B17,ÜRÜNLER!C:G,4,FALSE),"")</f>
        <v>₺54,00</v>
      </c>
      <c r="G17" s="46" t="str">
        <f t="shared" si="0"/>
        <v/>
      </c>
    </row>
    <row r="18" spans="2:7" ht="19.95" customHeight="1" x14ac:dyDescent="0.25">
      <c r="B18" s="47" t="s">
        <v>133</v>
      </c>
      <c r="C18" s="42" t="str">
        <f>IFERROR(VLOOKUP(B18,ÜRÜNLER!C:H,6,FALSE),"")</f>
        <v>*44332211007*</v>
      </c>
      <c r="D18" s="43"/>
      <c r="E18" s="44">
        <v>2</v>
      </c>
      <c r="F18" s="45" t="str">
        <f>IFERROR(VLOOKUP(B18,ÜRÜNLER!C:G,4,FALSE),"")</f>
        <v>₺879,00</v>
      </c>
      <c r="G18" s="46" t="str">
        <f>IFERROR(IF(E18="",ROUND(1*F18,2),ROUND(E18*F18,2)), "")</f>
        <v/>
      </c>
    </row>
    <row r="19" spans="2:7" ht="19.95" customHeight="1" x14ac:dyDescent="0.25">
      <c r="B19" s="47" t="s">
        <v>126</v>
      </c>
      <c r="C19" s="42" t="str">
        <f>IFERROR(VLOOKUP(B19,ÜRÜNLER!C:H,6,FALSE),"")</f>
        <v>*77889966554*</v>
      </c>
      <c r="D19" s="43"/>
      <c r="E19" s="44">
        <v>10</v>
      </c>
      <c r="F19" s="45" t="str">
        <f>IFERROR(VLOOKUP(B19,ÜRÜNLER!C:G,4,FALSE),"")</f>
        <v>₺123,00</v>
      </c>
      <c r="G19" s="46" t="str">
        <f t="shared" si="0"/>
        <v/>
      </c>
    </row>
    <row r="20" spans="2:7" ht="19.95" customHeight="1" x14ac:dyDescent="0.25">
      <c r="B20" s="47"/>
      <c r="C20" s="42" t="str">
        <f>IFERROR(VLOOKUP(B20,ÜRÜNLER!C:H,6,FALSE),"")</f>
        <v/>
      </c>
      <c r="D20" s="43"/>
      <c r="E20" s="44"/>
      <c r="F20" s="45" t="str">
        <f>IFERROR(VLOOKUP(B20,ÜRÜNLER!C:G,4,FALSE),"")</f>
        <v/>
      </c>
      <c r="G20" s="46" t="str">
        <f t="shared" si="0"/>
        <v/>
      </c>
    </row>
    <row r="21" spans="2:7" ht="19.95" customHeight="1" x14ac:dyDescent="0.25">
      <c r="B21" s="47"/>
      <c r="C21" s="42" t="str">
        <f>IFERROR(VLOOKUP(B21,ÜRÜNLER!C:H,6,FALSE),"")</f>
        <v/>
      </c>
      <c r="D21" s="43"/>
      <c r="E21" s="44"/>
      <c r="F21" s="45" t="str">
        <f>IFERROR(VLOOKUP(B21,ÜRÜNLER!C:G,4,FALSE),"")</f>
        <v/>
      </c>
      <c r="G21" s="46" t="str">
        <f t="shared" si="0"/>
        <v/>
      </c>
    </row>
    <row r="22" spans="2:7" ht="19.95" customHeight="1" x14ac:dyDescent="0.25">
      <c r="B22" s="47"/>
      <c r="C22" s="42" t="str">
        <f>IFERROR(VLOOKUP(B22,ÜRÜNLER!C:H,6,FALSE),"")</f>
        <v/>
      </c>
      <c r="D22" s="43"/>
      <c r="E22" s="44"/>
      <c r="F22" s="45" t="str">
        <f>IFERROR(VLOOKUP(B22,ÜRÜNLER!C:G,4,FALSE),"")</f>
        <v/>
      </c>
      <c r="G22" s="46" t="str">
        <f t="shared" si="0"/>
        <v/>
      </c>
    </row>
    <row r="23" spans="2:7" ht="19.95" customHeight="1" x14ac:dyDescent="0.25">
      <c r="B23" s="47"/>
      <c r="C23" s="42" t="str">
        <f>IFERROR(VLOOKUP(B23,ÜRÜNLER!C:H,6,FALSE),"")</f>
        <v/>
      </c>
      <c r="D23" s="43"/>
      <c r="E23" s="44"/>
      <c r="F23" s="45" t="str">
        <f>IFERROR(VLOOKUP(B23,ÜRÜNLER!C:G,4,FALSE),"")</f>
        <v/>
      </c>
      <c r="G23" s="46" t="str">
        <f t="shared" si="0"/>
        <v/>
      </c>
    </row>
    <row r="24" spans="2:7" ht="19.95" customHeight="1" x14ac:dyDescent="0.25">
      <c r="B24" s="47"/>
      <c r="C24" s="42" t="str">
        <f>IFERROR(VLOOKUP(B24,ÜRÜNLER!C:H,6,FALSE),"")</f>
        <v/>
      </c>
      <c r="D24" s="43"/>
      <c r="E24" s="44"/>
      <c r="F24" s="45" t="str">
        <f>IFERROR(VLOOKUP(B24,ÜRÜNLER!C:G,4,FALSE),"")</f>
        <v/>
      </c>
      <c r="G24" s="46" t="str">
        <f t="shared" si="0"/>
        <v/>
      </c>
    </row>
    <row r="25" spans="2:7" ht="19.95" customHeight="1" x14ac:dyDescent="0.25">
      <c r="B25" s="47"/>
      <c r="C25" s="42" t="str">
        <f>IFERROR(VLOOKUP(B25,ÜRÜNLER!C:H,6,FALSE),"")</f>
        <v/>
      </c>
      <c r="D25" s="43"/>
      <c r="E25" s="44"/>
      <c r="F25" s="45" t="str">
        <f>IFERROR(VLOOKUP(B25,ÜRÜNLER!C:G,4,FALSE),"")</f>
        <v/>
      </c>
      <c r="G25" s="46" t="str">
        <f t="shared" si="0"/>
        <v/>
      </c>
    </row>
    <row r="26" spans="2:7" ht="19.95" customHeight="1" x14ac:dyDescent="0.25">
      <c r="B26" s="47"/>
      <c r="C26" s="42" t="str">
        <f>IFERROR(VLOOKUP(B26,ÜRÜNLER!C:H,6,FALSE),"")</f>
        <v/>
      </c>
      <c r="D26" s="43"/>
      <c r="E26" s="44"/>
      <c r="F26" s="45" t="str">
        <f>IFERROR(VLOOKUP(B26,ÜRÜNLER!C:G,4,FALSE),"")</f>
        <v/>
      </c>
      <c r="G26" s="46" t="str">
        <f t="shared" si="0"/>
        <v/>
      </c>
    </row>
    <row r="27" spans="2:7" ht="19.95" customHeight="1" x14ac:dyDescent="0.25">
      <c r="B27" s="47"/>
      <c r="C27" s="42" t="str">
        <f>IFERROR(VLOOKUP(B27,ÜRÜNLER!C:H,6,FALSE),"")</f>
        <v/>
      </c>
      <c r="D27" s="43"/>
      <c r="E27" s="44"/>
      <c r="F27" s="45" t="str">
        <f>IFERROR(VLOOKUP(B27,ÜRÜNLER!C:G,4,FALSE),"")</f>
        <v/>
      </c>
      <c r="G27" s="46" t="str">
        <f t="shared" si="0"/>
        <v/>
      </c>
    </row>
    <row r="28" spans="2:7" ht="19.95" customHeight="1" x14ac:dyDescent="0.25">
      <c r="B28" s="47"/>
      <c r="C28" s="42" t="str">
        <f>IFERROR(VLOOKUP(B28,ÜRÜNLER!C:H,6,FALSE),"")</f>
        <v/>
      </c>
      <c r="D28" s="43"/>
      <c r="E28" s="44"/>
      <c r="F28" s="45" t="str">
        <f>IFERROR(VLOOKUP(B28,ÜRÜNLER!C:G,4,FALSE),"")</f>
        <v/>
      </c>
      <c r="G28" s="46" t="str">
        <f t="shared" si="0"/>
        <v/>
      </c>
    </row>
    <row r="29" spans="2:7" ht="19.95" customHeight="1" x14ac:dyDescent="0.25">
      <c r="B29" s="47"/>
      <c r="C29" s="42" t="str">
        <f>IFERROR(VLOOKUP(B29,ÜRÜNLER!C:H,6,FALSE),"")</f>
        <v/>
      </c>
      <c r="D29" s="43"/>
      <c r="E29" s="44"/>
      <c r="F29" s="45" t="str">
        <f>IFERROR(VLOOKUP(B29,ÜRÜNLER!C:G,4,FALSE),"")</f>
        <v/>
      </c>
      <c r="G29" s="46" t="str">
        <f t="shared" si="0"/>
        <v/>
      </c>
    </row>
    <row r="30" spans="2:7" ht="19.95" customHeight="1" x14ac:dyDescent="0.25">
      <c r="B30" s="47"/>
      <c r="C30" s="42" t="str">
        <f>IFERROR(VLOOKUP(B30,ÜRÜNLER!C:H,6,FALSE),"")</f>
        <v/>
      </c>
      <c r="D30" s="43"/>
      <c r="E30" s="44"/>
      <c r="F30" s="45" t="str">
        <f>IFERROR(VLOOKUP(B30,ÜRÜNLER!C:G,4,FALSE),"")</f>
        <v/>
      </c>
      <c r="G30" s="46" t="str">
        <f t="shared" si="0"/>
        <v/>
      </c>
    </row>
    <row r="31" spans="2:7" ht="19.95" customHeight="1" x14ac:dyDescent="0.25">
      <c r="B31" s="47"/>
      <c r="C31" s="42" t="str">
        <f>IFERROR(VLOOKUP(B31,ÜRÜNLER!C:H,6,FALSE),"")</f>
        <v/>
      </c>
      <c r="D31" s="43"/>
      <c r="E31" s="44"/>
      <c r="F31" s="45" t="str">
        <f>IFERROR(VLOOKUP(B31,ÜRÜNLER!C:G,4,FALSE),"")</f>
        <v/>
      </c>
      <c r="G31" s="46" t="str">
        <f t="shared" si="0"/>
        <v/>
      </c>
    </row>
    <row r="32" spans="2:7" s="31" customFormat="1" ht="19.95" customHeight="1" x14ac:dyDescent="0.3">
      <c r="B32" s="64" t="s">
        <v>22</v>
      </c>
      <c r="C32" s="64"/>
      <c r="D32" s="64"/>
      <c r="E32" s="65" t="s">
        <v>27</v>
      </c>
      <c r="F32" s="65"/>
      <c r="G32" s="49">
        <f>SUM(G16:G31)</f>
        <v>0</v>
      </c>
    </row>
    <row r="33" spans="2:7" ht="19.95" customHeight="1" x14ac:dyDescent="0.25">
      <c r="B33" s="23"/>
      <c r="C33" s="23"/>
      <c r="D33" s="19"/>
      <c r="E33" s="65" t="s">
        <v>26</v>
      </c>
      <c r="F33" s="65"/>
      <c r="G33" s="50">
        <v>1.2500000000000001E-2</v>
      </c>
    </row>
    <row r="34" spans="2:7" ht="19.95" customHeight="1" x14ac:dyDescent="0.25">
      <c r="B34" s="23"/>
      <c r="C34" s="39"/>
      <c r="D34" s="19"/>
      <c r="E34" s="48" t="s">
        <v>25</v>
      </c>
      <c r="F34" s="48"/>
      <c r="G34" s="49">
        <f>G32*G33</f>
        <v>0</v>
      </c>
    </row>
    <row r="35" spans="2:7" ht="30" customHeight="1" x14ac:dyDescent="0.3">
      <c r="B35" s="32"/>
      <c r="C35" s="32"/>
      <c r="D35" s="33"/>
      <c r="E35" s="61" t="s">
        <v>21</v>
      </c>
      <c r="F35" s="61"/>
      <c r="G35" s="51">
        <f>G32+G34</f>
        <v>0</v>
      </c>
    </row>
    <row r="36" spans="2:7" ht="29.4" customHeight="1" x14ac:dyDescent="0.25">
      <c r="B36" s="20"/>
      <c r="C36" s="20"/>
      <c r="D36" s="19"/>
      <c r="E36" s="61" t="s">
        <v>24</v>
      </c>
      <c r="F36" s="61"/>
      <c r="G36" s="51" t="str">
        <f>IFERROR(ANASAYFA!G35 - VLOOKUP(B8,'ÇEK-SENET'!A:B,2,FALSE), "")</f>
        <v/>
      </c>
    </row>
    <row r="37" spans="2:7" ht="19.95" customHeight="1" x14ac:dyDescent="0.25">
      <c r="B37" s="19"/>
      <c r="C37" s="19"/>
      <c r="D37" s="19"/>
      <c r="E37" s="19"/>
      <c r="F37" s="19"/>
      <c r="G37" s="19"/>
    </row>
    <row r="38" spans="2:7" ht="19.95" customHeight="1" x14ac:dyDescent="0.25">
      <c r="B38" s="66" t="s">
        <v>36</v>
      </c>
      <c r="C38" s="66"/>
      <c r="D38" s="66"/>
      <c r="E38" s="66"/>
      <c r="F38" s="66"/>
      <c r="G38" s="66"/>
    </row>
    <row r="39" spans="2:7" ht="19.95" customHeight="1" x14ac:dyDescent="0.25">
      <c r="B39" s="59" t="s">
        <v>137</v>
      </c>
      <c r="C39" s="59"/>
      <c r="D39" s="59"/>
      <c r="E39" s="59"/>
      <c r="F39" s="59"/>
      <c r="G39" s="59"/>
    </row>
    <row r="40" spans="2:7" ht="19.95" customHeight="1" x14ac:dyDescent="0.25"/>
    <row r="41" spans="2:7" ht="19.95" customHeight="1" x14ac:dyDescent="0.25"/>
    <row r="42" spans="2:7" ht="19.95" customHeight="1" x14ac:dyDescent="0.25"/>
    <row r="43" spans="2:7" ht="19.95" customHeight="1" x14ac:dyDescent="0.25"/>
    <row r="44" spans="2:7" ht="19.95" customHeight="1" x14ac:dyDescent="0.25"/>
    <row r="45" spans="2:7" ht="19.95" customHeight="1" x14ac:dyDescent="0.25"/>
  </sheetData>
  <mergeCells count="10">
    <mergeCell ref="B39:G39"/>
    <mergeCell ref="B9:B11"/>
    <mergeCell ref="E35:F35"/>
    <mergeCell ref="F2:G2"/>
    <mergeCell ref="B7:D7"/>
    <mergeCell ref="B32:D32"/>
    <mergeCell ref="E32:F32"/>
    <mergeCell ref="E33:F33"/>
    <mergeCell ref="B38:G38"/>
    <mergeCell ref="E36:F36"/>
  </mergeCells>
  <dataValidations count="2">
    <dataValidation type="list" allowBlank="1" showInputMessage="1" showErrorMessage="1" sqref="B8" xr:uid="{FB026970-D63C-4841-AC1E-ACDAB2F08F6A}">
      <formula1>Ad_Soyad</formula1>
    </dataValidation>
    <dataValidation type="list" showInputMessage="1" showErrorMessage="1" sqref="B16:B31" xr:uid="{8EB44ED3-9D88-4324-BF9A-299F5BE2BC20}">
      <formula1>ürün_listesi</formula1>
    </dataValidation>
  </dataValidations>
  <pageMargins left="0.7" right="0.7" top="0.75" bottom="0.75" header="0.3" footer="0.3"/>
  <pageSetup paperSize="9" scale="6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atisKaydetKontrolluGuncelle">
                <anchor moveWithCells="1" sizeWithCells="1">
                  <from>
                    <xdr:col>1</xdr:col>
                    <xdr:colOff>129540</xdr:colOff>
                    <xdr:row>34</xdr:row>
                    <xdr:rowOff>15240</xdr:rowOff>
                  </from>
                  <to>
                    <xdr:col>1</xdr:col>
                    <xdr:colOff>1630680</xdr:colOff>
                    <xdr:row>34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TemizleTeşekküreKadar">
                <anchor moveWithCells="1" sizeWithCells="1">
                  <from>
                    <xdr:col>1</xdr:col>
                    <xdr:colOff>1767840</xdr:colOff>
                    <xdr:row>33</xdr:row>
                    <xdr:rowOff>236220</xdr:rowOff>
                  </from>
                  <to>
                    <xdr:col>2</xdr:col>
                    <xdr:colOff>182880</xdr:colOff>
                    <xdr:row>34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C77D-841D-4D14-9BEA-C43461447301}">
  <sheetPr codeName="Sayfa1">
    <pageSetUpPr fitToPage="1"/>
  </sheetPr>
  <dimension ref="A1:N25"/>
  <sheetViews>
    <sheetView tabSelected="1" view="pageBreakPreview" topLeftCell="I1" zoomScale="60" zoomScaleNormal="70" workbookViewId="0">
      <selection activeCell="K8" sqref="K8:N9"/>
    </sheetView>
  </sheetViews>
  <sheetFormatPr defaultColWidth="20.77734375" defaultRowHeight="39" x14ac:dyDescent="0.3"/>
  <cols>
    <col min="1" max="5" width="20.77734375" style="4"/>
    <col min="6" max="6" width="20.77734375" style="41"/>
    <col min="7" max="7" width="20.77734375" style="4"/>
    <col min="8" max="8" width="40.44140625" style="14" customWidth="1"/>
    <col min="9" max="9" width="20.77734375" style="4"/>
    <col min="10" max="10" width="27.6640625" style="4" customWidth="1"/>
    <col min="11" max="16384" width="20.77734375" style="4"/>
  </cols>
  <sheetData>
    <row r="1" spans="1:14" ht="15.6" x14ac:dyDescent="0.3">
      <c r="A1" s="4" t="s">
        <v>15</v>
      </c>
      <c r="B1" s="2" t="s">
        <v>9</v>
      </c>
      <c r="C1" s="2" t="s">
        <v>10</v>
      </c>
      <c r="D1" s="2" t="s">
        <v>11</v>
      </c>
      <c r="E1" s="2" t="s">
        <v>12</v>
      </c>
      <c r="F1" s="40" t="s">
        <v>17</v>
      </c>
      <c r="G1" s="2" t="s">
        <v>16</v>
      </c>
      <c r="H1" s="2" t="s">
        <v>13</v>
      </c>
      <c r="I1" s="2" t="s">
        <v>14</v>
      </c>
      <c r="J1" s="2"/>
    </row>
    <row r="2" spans="1:14" x14ac:dyDescent="0.3">
      <c r="A2" s="56">
        <v>1</v>
      </c>
      <c r="B2" s="56">
        <v>5249951</v>
      </c>
      <c r="C2" s="56" t="s">
        <v>100</v>
      </c>
      <c r="D2" s="56" t="s">
        <v>101</v>
      </c>
      <c r="E2" s="56" t="s">
        <v>102</v>
      </c>
      <c r="F2" s="56" t="s">
        <v>103</v>
      </c>
      <c r="G2" s="4">
        <v>3</v>
      </c>
      <c r="H2" s="14" t="str">
        <f t="shared" ref="H2:H14" si="0">"*" &amp; B2 &amp; "*"</f>
        <v>*5249951*</v>
      </c>
    </row>
    <row r="3" spans="1:14" x14ac:dyDescent="0.3">
      <c r="A3" s="56">
        <v>2</v>
      </c>
      <c r="B3" s="56">
        <v>234234234</v>
      </c>
      <c r="C3" s="56" t="s">
        <v>104</v>
      </c>
      <c r="D3" s="56" t="s">
        <v>105</v>
      </c>
      <c r="E3" s="56" t="s">
        <v>106</v>
      </c>
      <c r="F3" s="56" t="s">
        <v>107</v>
      </c>
      <c r="G3" s="4">
        <v>234</v>
      </c>
      <c r="H3" s="14" t="str">
        <f t="shared" si="0"/>
        <v>*234234234*</v>
      </c>
    </row>
    <row r="4" spans="1:14" x14ac:dyDescent="0.3">
      <c r="A4" s="56">
        <v>3</v>
      </c>
      <c r="B4" s="56">
        <v>65165165156</v>
      </c>
      <c r="C4" s="56" t="s">
        <v>108</v>
      </c>
      <c r="D4" s="56" t="s">
        <v>109</v>
      </c>
      <c r="E4" s="56" t="s">
        <v>110</v>
      </c>
      <c r="F4" s="56" t="s">
        <v>111</v>
      </c>
      <c r="G4" s="4">
        <v>3</v>
      </c>
      <c r="H4" s="14" t="str">
        <f t="shared" si="0"/>
        <v>*65165165156*</v>
      </c>
    </row>
    <row r="5" spans="1:14" x14ac:dyDescent="0.3">
      <c r="A5" s="56">
        <v>4</v>
      </c>
      <c r="B5" s="56">
        <v>342342342</v>
      </c>
      <c r="C5" s="56" t="s">
        <v>112</v>
      </c>
      <c r="D5" s="56" t="s">
        <v>113</v>
      </c>
      <c r="E5" s="56" t="s">
        <v>114</v>
      </c>
      <c r="F5" s="56" t="s">
        <v>115</v>
      </c>
      <c r="G5" s="4">
        <v>3</v>
      </c>
      <c r="H5" s="14" t="str">
        <f t="shared" si="0"/>
        <v>*342342342*</v>
      </c>
    </row>
    <row r="6" spans="1:14" x14ac:dyDescent="0.3">
      <c r="A6" s="56">
        <v>5</v>
      </c>
      <c r="B6" s="56">
        <v>25325162549</v>
      </c>
      <c r="C6" s="56" t="s">
        <v>116</v>
      </c>
      <c r="D6" s="56" t="s">
        <v>117</v>
      </c>
      <c r="E6" s="56" t="s">
        <v>118</v>
      </c>
      <c r="F6" s="56" t="s">
        <v>119</v>
      </c>
      <c r="G6" s="4">
        <v>232</v>
      </c>
      <c r="H6" s="14" t="str">
        <f t="shared" si="0"/>
        <v>*25325162549*</v>
      </c>
    </row>
    <row r="7" spans="1:14" x14ac:dyDescent="0.3">
      <c r="A7" s="4">
        <v>6</v>
      </c>
      <c r="B7" s="4">
        <v>99887766554</v>
      </c>
      <c r="C7" s="4" t="s">
        <v>120</v>
      </c>
      <c r="D7" s="4" t="s">
        <v>117</v>
      </c>
      <c r="E7" s="41" t="s">
        <v>102</v>
      </c>
      <c r="F7" s="4" t="s">
        <v>121</v>
      </c>
      <c r="G7" s="4">
        <v>234</v>
      </c>
      <c r="H7" s="14" t="str">
        <f t="shared" si="0"/>
        <v>*99887766554*</v>
      </c>
      <c r="K7" s="76" t="s">
        <v>108</v>
      </c>
      <c r="L7" s="77"/>
      <c r="M7" s="77"/>
      <c r="N7" s="78"/>
    </row>
    <row r="8" spans="1:14" x14ac:dyDescent="0.3">
      <c r="A8" s="4">
        <v>7</v>
      </c>
      <c r="B8" s="4">
        <v>11223344556</v>
      </c>
      <c r="C8" s="4" t="s">
        <v>122</v>
      </c>
      <c r="D8" s="4" t="s">
        <v>123</v>
      </c>
      <c r="E8" s="41" t="s">
        <v>124</v>
      </c>
      <c r="F8" s="4" t="s">
        <v>125</v>
      </c>
      <c r="G8" s="4">
        <v>3</v>
      </c>
      <c r="H8" s="14" t="str">
        <f t="shared" si="0"/>
        <v>*11223344556*</v>
      </c>
      <c r="K8" s="67" t="str">
        <f>IFERROR(VLOOKUP(K7,ÜRÜNLER!C:H,6,FALSE),"")</f>
        <v>*65165165156*</v>
      </c>
      <c r="L8" s="68"/>
      <c r="M8" s="68"/>
      <c r="N8" s="69"/>
    </row>
    <row r="9" spans="1:14" x14ac:dyDescent="0.3">
      <c r="A9" s="4">
        <v>8</v>
      </c>
      <c r="B9" s="4">
        <v>77889966554</v>
      </c>
      <c r="C9" s="4" t="s">
        <v>126</v>
      </c>
      <c r="D9" s="4" t="s">
        <v>101</v>
      </c>
      <c r="E9" s="41" t="s">
        <v>127</v>
      </c>
      <c r="F9" s="4" t="s">
        <v>128</v>
      </c>
      <c r="G9" s="4">
        <v>2</v>
      </c>
      <c r="H9" s="14" t="str">
        <f t="shared" si="0"/>
        <v>*77889966554*</v>
      </c>
      <c r="K9" s="70"/>
      <c r="L9" s="71"/>
      <c r="M9" s="71"/>
      <c r="N9" s="72"/>
    </row>
    <row r="10" spans="1:14" x14ac:dyDescent="0.3">
      <c r="A10" s="4">
        <v>9</v>
      </c>
      <c r="B10" s="4">
        <v>55667788990</v>
      </c>
      <c r="C10" s="4" t="s">
        <v>129</v>
      </c>
      <c r="D10" s="4" t="s">
        <v>130</v>
      </c>
      <c r="E10" s="41" t="s">
        <v>131</v>
      </c>
      <c r="F10" s="4" t="s">
        <v>132</v>
      </c>
      <c r="G10" s="4">
        <v>3543</v>
      </c>
      <c r="H10" s="14" t="str">
        <f t="shared" si="0"/>
        <v>*55667788990*</v>
      </c>
      <c r="K10" s="73" t="str">
        <f>IFERROR(VLOOKUP(K7,ÜRÜNLER!C:H,4,FALSE),"")</f>
        <v>₺234,234,00</v>
      </c>
      <c r="L10" s="74"/>
      <c r="M10" s="74"/>
      <c r="N10" s="75"/>
    </row>
    <row r="11" spans="1:14" x14ac:dyDescent="0.3">
      <c r="A11" s="4">
        <v>10</v>
      </c>
      <c r="B11" s="4">
        <v>44332211007</v>
      </c>
      <c r="C11" s="4" t="s">
        <v>133</v>
      </c>
      <c r="D11" s="4" t="s">
        <v>134</v>
      </c>
      <c r="E11" s="41" t="s">
        <v>135</v>
      </c>
      <c r="F11" s="4" t="s">
        <v>136</v>
      </c>
      <c r="G11" s="4">
        <v>332</v>
      </c>
      <c r="H11" s="14" t="str">
        <f t="shared" si="0"/>
        <v>*44332211007*</v>
      </c>
    </row>
    <row r="12" spans="1:14" x14ac:dyDescent="0.3">
      <c r="A12" s="1">
        <v>11</v>
      </c>
      <c r="B12" s="4">
        <v>12323</v>
      </c>
      <c r="H12" s="14" t="str">
        <f t="shared" si="0"/>
        <v>*12323*</v>
      </c>
      <c r="M12" s="79"/>
    </row>
    <row r="13" spans="1:14" x14ac:dyDescent="0.3">
      <c r="A13" s="1">
        <v>12</v>
      </c>
      <c r="B13" s="4">
        <v>234</v>
      </c>
      <c r="H13" s="14" t="str">
        <f t="shared" si="0"/>
        <v>*234*</v>
      </c>
    </row>
    <row r="14" spans="1:14" x14ac:dyDescent="0.3">
      <c r="A14" s="1">
        <v>13</v>
      </c>
      <c r="B14" s="4">
        <v>234234235</v>
      </c>
      <c r="H14" s="14" t="str">
        <f t="shared" si="0"/>
        <v>*234234235*</v>
      </c>
    </row>
    <row r="15" spans="1:14" x14ac:dyDescent="0.3">
      <c r="A15" s="1"/>
    </row>
    <row r="16" spans="1:14" x14ac:dyDescent="0.3">
      <c r="A16" s="1"/>
    </row>
    <row r="17" spans="1:9" x14ac:dyDescent="0.3">
      <c r="A17" s="1"/>
    </row>
    <row r="18" spans="1:9" x14ac:dyDescent="0.3">
      <c r="A18" s="1"/>
    </row>
    <row r="19" spans="1:9" x14ac:dyDescent="0.3">
      <c r="A19" s="1"/>
    </row>
    <row r="20" spans="1:9" ht="14.4" x14ac:dyDescent="0.3">
      <c r="A20" s="1"/>
      <c r="B20" s="57"/>
      <c r="C20" s="57"/>
      <c r="D20" s="57"/>
      <c r="E20" s="57"/>
      <c r="F20" s="57"/>
      <c r="G20" s="57"/>
      <c r="H20" s="57"/>
      <c r="I20" s="57"/>
    </row>
    <row r="21" spans="1:9" ht="14.4" x14ac:dyDescent="0.3">
      <c r="A21" s="1"/>
      <c r="B21" s="55"/>
      <c r="C21" s="55"/>
      <c r="D21" s="55"/>
      <c r="E21" s="55"/>
      <c r="F21" s="55"/>
      <c r="G21" s="55"/>
      <c r="H21" s="55"/>
      <c r="I21" s="58"/>
    </row>
    <row r="22" spans="1:9" ht="14.4" x14ac:dyDescent="0.3">
      <c r="A22" s="1"/>
      <c r="B22" s="55"/>
      <c r="C22" s="55"/>
      <c r="D22" s="55"/>
      <c r="E22" s="55"/>
      <c r="F22" s="55"/>
      <c r="G22" s="55"/>
      <c r="H22" s="55"/>
      <c r="I22" s="58"/>
    </row>
    <row r="23" spans="1:9" ht="14.4" x14ac:dyDescent="0.3">
      <c r="A23" s="1"/>
      <c r="B23" s="55"/>
      <c r="C23" s="55"/>
      <c r="D23" s="55"/>
      <c r="E23" s="55"/>
      <c r="F23" s="55"/>
      <c r="G23" s="55"/>
      <c r="H23" s="55"/>
      <c r="I23" s="58"/>
    </row>
    <row r="24" spans="1:9" ht="14.4" x14ac:dyDescent="0.3">
      <c r="A24" s="1"/>
      <c r="B24" s="55"/>
      <c r="C24" s="55"/>
      <c r="D24" s="55"/>
      <c r="E24" s="55"/>
      <c r="F24" s="55"/>
      <c r="G24" s="55"/>
      <c r="H24" s="55"/>
      <c r="I24" s="58"/>
    </row>
    <row r="25" spans="1:9" ht="14.4" x14ac:dyDescent="0.3">
      <c r="A25" s="1"/>
      <c r="B25" s="55"/>
      <c r="C25" s="55"/>
      <c r="D25" s="55"/>
      <c r="E25" s="55"/>
      <c r="F25" s="55"/>
      <c r="G25" s="55"/>
      <c r="H25" s="55"/>
      <c r="I25" s="58"/>
    </row>
  </sheetData>
  <mergeCells count="3">
    <mergeCell ref="K7:N7"/>
    <mergeCell ref="K8:N9"/>
    <mergeCell ref="K10:N10"/>
  </mergeCells>
  <dataValidations count="1">
    <dataValidation type="list" allowBlank="1" showInputMessage="1" showErrorMessage="1" sqref="K7:N7" xr:uid="{D74BF182-2119-4615-9057-8C0E80CEDF2F}">
      <formula1>ürün_listesi</formula1>
    </dataValidation>
  </dataValidations>
  <pageMargins left="0.2" right="0.2" top="0.2" bottom="0.2" header="0.3" footer="0.3"/>
  <pageSetup paperSize="9" scale="4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tiketiYazdir">
                <anchor moveWithCells="1" sizeWithCells="1">
                  <from>
                    <xdr:col>10</xdr:col>
                    <xdr:colOff>167640</xdr:colOff>
                    <xdr:row>10</xdr:row>
                    <xdr:rowOff>266700</xdr:rowOff>
                  </from>
                  <to>
                    <xdr:col>11</xdr:col>
                    <xdr:colOff>1158240</xdr:colOff>
                    <xdr:row>11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D5CF9-BA4B-4A5E-A23E-EE8E75D2F155}">
  <sheetPr codeName="Sayfa2"/>
  <dimension ref="A1:D11"/>
  <sheetViews>
    <sheetView zoomScaleNormal="100" zoomScaleSheetLayoutView="130" workbookViewId="0">
      <selection activeCell="A2" sqref="A2:A11"/>
    </sheetView>
  </sheetViews>
  <sheetFormatPr defaultRowHeight="13.8" x14ac:dyDescent="0.3"/>
  <cols>
    <col min="1" max="1" width="20.77734375" style="4" customWidth="1"/>
    <col min="2" max="2" width="20.77734375" style="5" customWidth="1"/>
    <col min="3" max="4" width="20.77734375" style="4" customWidth="1"/>
    <col min="5" max="16384" width="8.88671875" style="4"/>
  </cols>
  <sheetData>
    <row r="1" spans="1:4" ht="15.6" x14ac:dyDescent="0.3">
      <c r="A1" s="2" t="s">
        <v>0</v>
      </c>
      <c r="B1" s="3" t="s">
        <v>1</v>
      </c>
      <c r="C1" s="2" t="s">
        <v>2</v>
      </c>
      <c r="D1" s="2" t="s">
        <v>3</v>
      </c>
    </row>
    <row r="2" spans="1:4" ht="14.4" x14ac:dyDescent="0.3">
      <c r="A2" s="55" t="s">
        <v>40</v>
      </c>
      <c r="B2" s="55" t="s">
        <v>41</v>
      </c>
      <c r="C2" s="55" t="s">
        <v>42</v>
      </c>
      <c r="D2" s="55" t="s">
        <v>43</v>
      </c>
    </row>
    <row r="3" spans="1:4" ht="14.4" x14ac:dyDescent="0.3">
      <c r="A3" s="55" t="s">
        <v>44</v>
      </c>
      <c r="B3" s="55" t="s">
        <v>45</v>
      </c>
      <c r="C3" s="55" t="s">
        <v>46</v>
      </c>
      <c r="D3" s="55" t="s">
        <v>47</v>
      </c>
    </row>
    <row r="4" spans="1:4" ht="14.4" x14ac:dyDescent="0.3">
      <c r="A4" s="55" t="s">
        <v>48</v>
      </c>
      <c r="B4" s="55" t="s">
        <v>49</v>
      </c>
      <c r="C4" s="55" t="s">
        <v>50</v>
      </c>
      <c r="D4" s="55" t="s">
        <v>51</v>
      </c>
    </row>
    <row r="5" spans="1:4" ht="14.4" x14ac:dyDescent="0.3">
      <c r="A5" s="55" t="s">
        <v>52</v>
      </c>
      <c r="B5" s="55" t="s">
        <v>53</v>
      </c>
      <c r="C5" s="55" t="s">
        <v>54</v>
      </c>
      <c r="D5" s="55" t="s">
        <v>55</v>
      </c>
    </row>
    <row r="6" spans="1:4" ht="14.4" x14ac:dyDescent="0.3">
      <c r="A6" s="55" t="s">
        <v>56</v>
      </c>
      <c r="B6" s="55" t="s">
        <v>57</v>
      </c>
      <c r="C6" s="55" t="s">
        <v>58</v>
      </c>
      <c r="D6" s="55" t="s">
        <v>59</v>
      </c>
    </row>
    <row r="7" spans="1:4" ht="14.4" x14ac:dyDescent="0.3">
      <c r="A7" s="55" t="s">
        <v>60</v>
      </c>
      <c r="B7" s="55" t="s">
        <v>61</v>
      </c>
      <c r="C7" s="55" t="s">
        <v>62</v>
      </c>
      <c r="D7" s="55" t="s">
        <v>63</v>
      </c>
    </row>
    <row r="8" spans="1:4" ht="14.4" x14ac:dyDescent="0.3">
      <c r="A8" s="55" t="s">
        <v>64</v>
      </c>
      <c r="B8" s="55" t="s">
        <v>65</v>
      </c>
      <c r="C8" s="55" t="s">
        <v>66</v>
      </c>
      <c r="D8" s="55" t="s">
        <v>67</v>
      </c>
    </row>
    <row r="9" spans="1:4" ht="14.4" x14ac:dyDescent="0.3">
      <c r="A9" s="55" t="s">
        <v>68</v>
      </c>
      <c r="B9" s="55" t="s">
        <v>69</v>
      </c>
      <c r="C9" s="55" t="s">
        <v>70</v>
      </c>
      <c r="D9" s="55" t="s">
        <v>71</v>
      </c>
    </row>
    <row r="10" spans="1:4" ht="14.4" x14ac:dyDescent="0.3">
      <c r="A10" s="55" t="s">
        <v>72</v>
      </c>
      <c r="B10" s="55" t="s">
        <v>73</v>
      </c>
      <c r="C10" s="55" t="s">
        <v>74</v>
      </c>
      <c r="D10" s="55" t="s">
        <v>75</v>
      </c>
    </row>
    <row r="11" spans="1:4" ht="14.4" x14ac:dyDescent="0.3">
      <c r="A11" s="55" t="s">
        <v>76</v>
      </c>
      <c r="B11" s="55" t="s">
        <v>77</v>
      </c>
      <c r="C11" s="55" t="s">
        <v>78</v>
      </c>
      <c r="D11" s="55" t="s">
        <v>79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3B5BE-1E7C-4BC3-8E4D-8BD890BB2F25}">
  <sheetPr codeName="Sayfa3"/>
  <dimension ref="A1:E23"/>
  <sheetViews>
    <sheetView zoomScale="96" zoomScaleNormal="96" workbookViewId="0">
      <selection activeCell="C14" sqref="C14"/>
    </sheetView>
  </sheetViews>
  <sheetFormatPr defaultRowHeight="13.8" x14ac:dyDescent="0.3"/>
  <cols>
    <col min="1" max="1" width="20.77734375" style="4" customWidth="1"/>
    <col min="2" max="2" width="20.77734375" style="13" customWidth="1"/>
    <col min="3" max="3" width="17.88671875" style="10" customWidth="1"/>
    <col min="4" max="4" width="20.77734375" style="4" customWidth="1"/>
    <col min="5" max="5" width="25.88671875" style="4" customWidth="1"/>
    <col min="6" max="16384" width="8.88671875" style="4"/>
  </cols>
  <sheetData>
    <row r="1" spans="1:5" ht="15.6" x14ac:dyDescent="0.3">
      <c r="A1" s="6" t="s">
        <v>7</v>
      </c>
      <c r="B1" s="7" t="s">
        <v>4</v>
      </c>
      <c r="C1" s="8" t="s">
        <v>5</v>
      </c>
      <c r="D1" s="6" t="s">
        <v>6</v>
      </c>
      <c r="E1" s="9"/>
    </row>
    <row r="2" spans="1:5" ht="14.4" x14ac:dyDescent="0.3">
      <c r="A2" s="55" t="s">
        <v>40</v>
      </c>
      <c r="B2" s="55" t="s">
        <v>80</v>
      </c>
      <c r="C2" s="55" t="s">
        <v>81</v>
      </c>
      <c r="D2" s="4" t="s">
        <v>8</v>
      </c>
    </row>
    <row r="3" spans="1:5" ht="14.4" x14ac:dyDescent="0.3">
      <c r="A3" s="55" t="s">
        <v>44</v>
      </c>
      <c r="B3" s="55" t="s">
        <v>82</v>
      </c>
      <c r="C3" s="55" t="s">
        <v>83</v>
      </c>
      <c r="D3" s="4" t="s">
        <v>8</v>
      </c>
    </row>
    <row r="4" spans="1:5" ht="14.4" x14ac:dyDescent="0.3">
      <c r="A4" s="55" t="s">
        <v>48</v>
      </c>
      <c r="B4" s="55" t="s">
        <v>84</v>
      </c>
      <c r="C4" s="55" t="s">
        <v>85</v>
      </c>
      <c r="D4" s="4" t="s">
        <v>8</v>
      </c>
    </row>
    <row r="5" spans="1:5" ht="14.4" x14ac:dyDescent="0.3">
      <c r="A5" s="55" t="s">
        <v>52</v>
      </c>
      <c r="B5" s="55" t="s">
        <v>86</v>
      </c>
      <c r="C5" s="55" t="s">
        <v>87</v>
      </c>
      <c r="D5" s="4" t="s">
        <v>8</v>
      </c>
    </row>
    <row r="6" spans="1:5" ht="14.4" x14ac:dyDescent="0.3">
      <c r="A6" s="55" t="s">
        <v>56</v>
      </c>
      <c r="B6" s="55" t="s">
        <v>88</v>
      </c>
      <c r="C6" s="55" t="s">
        <v>89</v>
      </c>
      <c r="D6" s="4" t="s">
        <v>8</v>
      </c>
    </row>
    <row r="7" spans="1:5" ht="14.4" x14ac:dyDescent="0.3">
      <c r="A7" s="55" t="s">
        <v>60</v>
      </c>
      <c r="B7" s="55" t="s">
        <v>90</v>
      </c>
      <c r="C7" s="55" t="s">
        <v>91</v>
      </c>
      <c r="D7" s="4" t="s">
        <v>8</v>
      </c>
      <c r="E7" s="10"/>
    </row>
    <row r="8" spans="1:5" ht="14.4" x14ac:dyDescent="0.3">
      <c r="A8" s="55" t="s">
        <v>64</v>
      </c>
      <c r="B8" s="55" t="s">
        <v>92</v>
      </c>
      <c r="C8" s="55" t="s">
        <v>93</v>
      </c>
      <c r="D8" s="4" t="s">
        <v>8</v>
      </c>
    </row>
    <row r="9" spans="1:5" ht="14.4" x14ac:dyDescent="0.3">
      <c r="A9" s="55" t="s">
        <v>68</v>
      </c>
      <c r="B9" s="55" t="s">
        <v>94</v>
      </c>
      <c r="C9" s="55" t="s">
        <v>95</v>
      </c>
      <c r="D9" s="4" t="s">
        <v>8</v>
      </c>
    </row>
    <row r="10" spans="1:5" ht="14.4" x14ac:dyDescent="0.3">
      <c r="A10" s="55" t="s">
        <v>72</v>
      </c>
      <c r="B10" s="55" t="s">
        <v>96</v>
      </c>
      <c r="C10" s="55" t="s">
        <v>97</v>
      </c>
      <c r="D10" s="4" t="s">
        <v>8</v>
      </c>
    </row>
    <row r="11" spans="1:5" ht="14.4" x14ac:dyDescent="0.3">
      <c r="A11" s="55" t="s">
        <v>76</v>
      </c>
      <c r="B11" s="55" t="s">
        <v>98</v>
      </c>
      <c r="C11" s="55" t="s">
        <v>99</v>
      </c>
      <c r="D11" s="4" t="s">
        <v>8</v>
      </c>
      <c r="E11" s="12"/>
    </row>
    <row r="12" spans="1:5" x14ac:dyDescent="0.3">
      <c r="B12" s="11"/>
    </row>
    <row r="13" spans="1:5" x14ac:dyDescent="0.3">
      <c r="B13" s="11"/>
    </row>
    <row r="14" spans="1:5" ht="14.4" x14ac:dyDescent="0.3">
      <c r="B14" s="11"/>
      <c r="E14" s="15"/>
    </row>
    <row r="15" spans="1:5" x14ac:dyDescent="0.3">
      <c r="B15" s="11"/>
    </row>
    <row r="16" spans="1:5" x14ac:dyDescent="0.3">
      <c r="B16" s="11"/>
    </row>
    <row r="17" spans="2:2" x14ac:dyDescent="0.3">
      <c r="B17" s="11"/>
    </row>
    <row r="18" spans="2:2" x14ac:dyDescent="0.3">
      <c r="B18" s="11"/>
    </row>
    <row r="19" spans="2:2" x14ac:dyDescent="0.3">
      <c r="B19" s="11"/>
    </row>
    <row r="20" spans="2:2" x14ac:dyDescent="0.3">
      <c r="B20" s="11"/>
    </row>
    <row r="21" spans="2:2" x14ac:dyDescent="0.3">
      <c r="B21" s="11"/>
    </row>
    <row r="22" spans="2:2" x14ac:dyDescent="0.3">
      <c r="B22" s="11"/>
    </row>
    <row r="23" spans="2:2" x14ac:dyDescent="0.3">
      <c r="B23" s="11"/>
    </row>
  </sheetData>
  <phoneticPr fontId="3" type="noConversion"/>
  <conditionalFormatting sqref="D1:D1048576">
    <cfRule type="containsText" dxfId="16" priority="12" operator="containsText" text="Geçersiz">
      <formula>NOT(ISERROR(SEARCH("Geçersiz",D1)))</formula>
    </cfRule>
    <cfRule type="containsText" dxfId="15" priority="13" operator="containsText" text="Geçerli">
      <formula>NOT(ISERROR(SEARCH("Geçerli",D1)))</formula>
    </cfRule>
  </conditionalFormatting>
  <conditionalFormatting sqref="E7">
    <cfRule type="expression" dxfId="14" priority="2">
      <formula>$E$7&lt;_xludf.TODAY()</formula>
    </cfRule>
  </conditionalFormatting>
  <dataValidations count="2">
    <dataValidation type="list" showInputMessage="1" showErrorMessage="1" sqref="A12:A1048576" xr:uid="{FEEBED22-430D-4FAA-A356-5013A6A39956}">
      <formula1>Ad_Soyad</formula1>
    </dataValidation>
    <dataValidation type="list" showInputMessage="1" showErrorMessage="1" sqref="D2:D1048576" xr:uid="{4C44B4AD-5CFA-404A-BE0E-14ADD1DC3259}">
      <formula1>"Geçerli,Geçersiz"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F6BDA-610D-4C18-BF6A-78132A4758A2}">
  <sheetPr codeName="Sayfa5">
    <pageSetUpPr fitToPage="1"/>
  </sheetPr>
  <dimension ref="A1:C42"/>
  <sheetViews>
    <sheetView workbookViewId="0">
      <selection activeCell="B8" sqref="B8"/>
    </sheetView>
  </sheetViews>
  <sheetFormatPr defaultRowHeight="14.4" x14ac:dyDescent="0.3"/>
  <cols>
    <col min="1" max="3" width="27.109375" style="53" customWidth="1"/>
    <col min="4" max="16384" width="8.88671875" style="53"/>
  </cols>
  <sheetData>
    <row r="1" spans="1:3" x14ac:dyDescent="0.3">
      <c r="A1"/>
      <c r="B1"/>
      <c r="C1"/>
    </row>
    <row r="2" spans="1:3" x14ac:dyDescent="0.3">
      <c r="A2" s="54" t="s">
        <v>37</v>
      </c>
      <c r="B2" s="54" t="s">
        <v>38</v>
      </c>
      <c r="C2" s="54" t="s">
        <v>39</v>
      </c>
    </row>
    <row r="3" spans="1:3" x14ac:dyDescent="0.3">
      <c r="A3" s="55" t="s">
        <v>40</v>
      </c>
      <c r="B3" s="55" t="s">
        <v>100</v>
      </c>
      <c r="C3" s="55">
        <v>20</v>
      </c>
    </row>
    <row r="4" spans="1:3" x14ac:dyDescent="0.3">
      <c r="A4" s="55" t="s">
        <v>40</v>
      </c>
      <c r="B4" s="55" t="s">
        <v>104</v>
      </c>
      <c r="C4" s="55">
        <v>5</v>
      </c>
    </row>
    <row r="5" spans="1:3" x14ac:dyDescent="0.3">
      <c r="A5" s="55" t="s">
        <v>40</v>
      </c>
      <c r="B5" s="55" t="s">
        <v>108</v>
      </c>
      <c r="C5" s="55">
        <v>10</v>
      </c>
    </row>
    <row r="6" spans="1:3" x14ac:dyDescent="0.3">
      <c r="A6" s="55" t="s">
        <v>40</v>
      </c>
      <c r="B6" s="55" t="s">
        <v>133</v>
      </c>
      <c r="C6" s="55">
        <v>3</v>
      </c>
    </row>
    <row r="7" spans="1:3" x14ac:dyDescent="0.3">
      <c r="A7" s="55" t="s">
        <v>44</v>
      </c>
      <c r="B7" s="55" t="s">
        <v>120</v>
      </c>
      <c r="C7" s="55">
        <v>15</v>
      </c>
    </row>
    <row r="8" spans="1:3" x14ac:dyDescent="0.3">
      <c r="A8" s="55" t="s">
        <v>44</v>
      </c>
      <c r="B8" s="55" t="s">
        <v>126</v>
      </c>
      <c r="C8" s="55">
        <v>7</v>
      </c>
    </row>
    <row r="9" spans="1:3" x14ac:dyDescent="0.3">
      <c r="A9" s="55" t="s">
        <v>44</v>
      </c>
      <c r="B9" s="55" t="s">
        <v>129</v>
      </c>
      <c r="C9" s="55">
        <v>12</v>
      </c>
    </row>
    <row r="10" spans="1:3" x14ac:dyDescent="0.3">
      <c r="A10" s="55" t="s">
        <v>44</v>
      </c>
      <c r="B10" s="55" t="s">
        <v>116</v>
      </c>
      <c r="C10" s="55">
        <v>8</v>
      </c>
    </row>
    <row r="11" spans="1:3" x14ac:dyDescent="0.3">
      <c r="A11" s="55" t="s">
        <v>48</v>
      </c>
      <c r="B11" s="55" t="s">
        <v>104</v>
      </c>
      <c r="C11" s="55">
        <v>6</v>
      </c>
    </row>
    <row r="12" spans="1:3" x14ac:dyDescent="0.3">
      <c r="A12" s="55" t="s">
        <v>48</v>
      </c>
      <c r="B12" s="55" t="s">
        <v>100</v>
      </c>
      <c r="C12" s="55">
        <v>25</v>
      </c>
    </row>
    <row r="13" spans="1:3" x14ac:dyDescent="0.3">
      <c r="A13" s="55" t="s">
        <v>48</v>
      </c>
      <c r="B13" s="55" t="s">
        <v>122</v>
      </c>
      <c r="C13" s="55">
        <v>4</v>
      </c>
    </row>
    <row r="14" spans="1:3" x14ac:dyDescent="0.3">
      <c r="A14" s="55" t="s">
        <v>48</v>
      </c>
      <c r="B14" s="55" t="s">
        <v>112</v>
      </c>
      <c r="C14" s="55">
        <v>9</v>
      </c>
    </row>
    <row r="15" spans="1:3" x14ac:dyDescent="0.3">
      <c r="A15" s="53" t="s">
        <v>52</v>
      </c>
      <c r="B15" s="53" t="s">
        <v>108</v>
      </c>
      <c r="C15" s="53">
        <v>11</v>
      </c>
    </row>
    <row r="16" spans="1:3" x14ac:dyDescent="0.3">
      <c r="A16" s="53" t="s">
        <v>52</v>
      </c>
      <c r="B16" s="53" t="s">
        <v>120</v>
      </c>
      <c r="C16" s="53">
        <v>14</v>
      </c>
    </row>
    <row r="17" spans="1:3" x14ac:dyDescent="0.3">
      <c r="A17" s="53" t="s">
        <v>52</v>
      </c>
      <c r="B17" s="53" t="s">
        <v>133</v>
      </c>
      <c r="C17" s="53">
        <v>2</v>
      </c>
    </row>
    <row r="18" spans="1:3" x14ac:dyDescent="0.3">
      <c r="A18" s="53" t="s">
        <v>52</v>
      </c>
      <c r="B18" s="53" t="s">
        <v>126</v>
      </c>
      <c r="C18" s="53">
        <v>10</v>
      </c>
    </row>
    <row r="19" spans="1:3" x14ac:dyDescent="0.3">
      <c r="A19" s="53" t="s">
        <v>56</v>
      </c>
      <c r="B19" s="53" t="s">
        <v>116</v>
      </c>
      <c r="C19" s="53">
        <v>7</v>
      </c>
    </row>
    <row r="20" spans="1:3" x14ac:dyDescent="0.3">
      <c r="A20" s="53" t="s">
        <v>56</v>
      </c>
      <c r="B20" s="53" t="s">
        <v>129</v>
      </c>
      <c r="C20" s="53">
        <v>13</v>
      </c>
    </row>
    <row r="21" spans="1:3" x14ac:dyDescent="0.3">
      <c r="A21" s="53" t="s">
        <v>56</v>
      </c>
      <c r="B21" s="53" t="s">
        <v>100</v>
      </c>
      <c r="C21" s="53">
        <v>18</v>
      </c>
    </row>
    <row r="22" spans="1:3" x14ac:dyDescent="0.3">
      <c r="A22" s="53" t="s">
        <v>56</v>
      </c>
      <c r="B22" s="53" t="s">
        <v>122</v>
      </c>
      <c r="C22" s="53">
        <v>5</v>
      </c>
    </row>
    <row r="23" spans="1:3" x14ac:dyDescent="0.3">
      <c r="A23" s="53" t="s">
        <v>60</v>
      </c>
      <c r="B23" s="53" t="s">
        <v>104</v>
      </c>
      <c r="C23" s="53">
        <v>8</v>
      </c>
    </row>
    <row r="24" spans="1:3" x14ac:dyDescent="0.3">
      <c r="A24" s="53" t="s">
        <v>60</v>
      </c>
      <c r="B24" s="53" t="s">
        <v>112</v>
      </c>
      <c r="C24" s="53">
        <v>7</v>
      </c>
    </row>
    <row r="25" spans="1:3" x14ac:dyDescent="0.3">
      <c r="A25" s="53" t="s">
        <v>60</v>
      </c>
      <c r="B25" s="53" t="s">
        <v>133</v>
      </c>
      <c r="C25" s="53">
        <v>4</v>
      </c>
    </row>
    <row r="26" spans="1:3" x14ac:dyDescent="0.3">
      <c r="A26" s="53" t="s">
        <v>60</v>
      </c>
      <c r="B26" s="53" t="s">
        <v>120</v>
      </c>
      <c r="C26" s="53">
        <v>12</v>
      </c>
    </row>
    <row r="27" spans="1:3" x14ac:dyDescent="0.3">
      <c r="A27" s="53" t="s">
        <v>64</v>
      </c>
      <c r="B27" s="53" t="s">
        <v>126</v>
      </c>
      <c r="C27" s="53">
        <v>9</v>
      </c>
    </row>
    <row r="28" spans="1:3" x14ac:dyDescent="0.3">
      <c r="A28" s="53" t="s">
        <v>64</v>
      </c>
      <c r="B28" s="53" t="s">
        <v>129</v>
      </c>
      <c r="C28" s="53">
        <v>11</v>
      </c>
    </row>
    <row r="29" spans="1:3" x14ac:dyDescent="0.3">
      <c r="A29" s="53" t="s">
        <v>64</v>
      </c>
      <c r="B29" s="53" t="s">
        <v>108</v>
      </c>
      <c r="C29" s="53">
        <v>10</v>
      </c>
    </row>
    <row r="30" spans="1:3" x14ac:dyDescent="0.3">
      <c r="A30" s="53" t="s">
        <v>64</v>
      </c>
      <c r="B30" s="53" t="s">
        <v>100</v>
      </c>
      <c r="C30" s="53">
        <v>22</v>
      </c>
    </row>
    <row r="31" spans="1:3" x14ac:dyDescent="0.3">
      <c r="A31" s="53" t="s">
        <v>68</v>
      </c>
      <c r="B31" s="53" t="s">
        <v>122</v>
      </c>
      <c r="C31" s="53">
        <v>6</v>
      </c>
    </row>
    <row r="32" spans="1:3" x14ac:dyDescent="0.3">
      <c r="A32" s="53" t="s">
        <v>68</v>
      </c>
      <c r="B32" s="53" t="s">
        <v>116</v>
      </c>
      <c r="C32" s="53">
        <v>9</v>
      </c>
    </row>
    <row r="33" spans="1:3" x14ac:dyDescent="0.3">
      <c r="A33" s="53" t="s">
        <v>68</v>
      </c>
      <c r="B33" s="53" t="s">
        <v>112</v>
      </c>
      <c r="C33" s="53">
        <v>8</v>
      </c>
    </row>
    <row r="34" spans="1:3" x14ac:dyDescent="0.3">
      <c r="A34" s="53" t="s">
        <v>68</v>
      </c>
      <c r="B34" s="53" t="s">
        <v>104</v>
      </c>
      <c r="C34" s="53">
        <v>7</v>
      </c>
    </row>
    <row r="35" spans="1:3" x14ac:dyDescent="0.3">
      <c r="A35" s="53" t="s">
        <v>72</v>
      </c>
      <c r="B35" s="53" t="s">
        <v>120</v>
      </c>
      <c r="C35" s="53">
        <v>10</v>
      </c>
    </row>
    <row r="36" spans="1:3" x14ac:dyDescent="0.3">
      <c r="A36" s="53" t="s">
        <v>72</v>
      </c>
      <c r="B36" s="53" t="s">
        <v>126</v>
      </c>
      <c r="C36" s="53">
        <v>6</v>
      </c>
    </row>
    <row r="37" spans="1:3" x14ac:dyDescent="0.3">
      <c r="A37" s="53" t="s">
        <v>72</v>
      </c>
      <c r="B37" s="53" t="s">
        <v>129</v>
      </c>
      <c r="C37" s="53">
        <v>14</v>
      </c>
    </row>
    <row r="38" spans="1:3" x14ac:dyDescent="0.3">
      <c r="A38" s="53" t="s">
        <v>72</v>
      </c>
      <c r="B38" s="53" t="s">
        <v>133</v>
      </c>
      <c r="C38" s="53">
        <v>3</v>
      </c>
    </row>
    <row r="39" spans="1:3" x14ac:dyDescent="0.3">
      <c r="A39" s="53" t="s">
        <v>76</v>
      </c>
      <c r="B39" s="53" t="s">
        <v>108</v>
      </c>
      <c r="C39" s="53">
        <v>8</v>
      </c>
    </row>
    <row r="40" spans="1:3" x14ac:dyDescent="0.3">
      <c r="A40" s="53" t="s">
        <v>76</v>
      </c>
      <c r="B40" s="53" t="s">
        <v>100</v>
      </c>
      <c r="C40" s="53">
        <v>20</v>
      </c>
    </row>
    <row r="41" spans="1:3" x14ac:dyDescent="0.3">
      <c r="A41" s="53" t="s">
        <v>76</v>
      </c>
      <c r="B41" s="53" t="s">
        <v>122</v>
      </c>
      <c r="C41" s="53">
        <v>7</v>
      </c>
    </row>
    <row r="42" spans="1:3" x14ac:dyDescent="0.3">
      <c r="A42" s="53" t="s">
        <v>76</v>
      </c>
      <c r="B42" s="53" t="s">
        <v>116</v>
      </c>
      <c r="C42" s="53">
        <v>5</v>
      </c>
    </row>
  </sheetData>
  <pageMargins left="0.7" right="0.7" top="0.75" bottom="0.75" header="0.3" footer="0.3"/>
  <pageSetup paperSize="9" fitToWidth="0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ANASAYFA</vt:lpstr>
      <vt:lpstr>ÜRÜNLER</vt:lpstr>
      <vt:lpstr>MÜŞTERİLER</vt:lpstr>
      <vt:lpstr>ÇEK-SENET</vt:lpstr>
      <vt:lpstr>SATIŞLAR</vt:lpstr>
      <vt:lpstr>Ad_Soyad</vt:lpstr>
      <vt:lpstr>ürün_listesi</vt:lpstr>
      <vt:lpstr>ANASAYFA!Yazdırma_Alanı</vt:lpstr>
      <vt:lpstr>ÜRÜNLER!Yazdırma_Alanı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eroğlu</dc:creator>
  <cp:lastModifiedBy>yusuf eroğlu</cp:lastModifiedBy>
  <cp:lastPrinted>2025-06-13T17:35:19Z</cp:lastPrinted>
  <dcterms:created xsi:type="dcterms:W3CDTF">2025-06-12T10:35:47Z</dcterms:created>
  <dcterms:modified xsi:type="dcterms:W3CDTF">2025-06-13T17:36:35Z</dcterms:modified>
</cp:coreProperties>
</file>